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são" sheetId="1" r:id="rId5"/>
    <sheet state="visible" name="densidade" sheetId="2" r:id="rId6"/>
    <sheet state="visible" name="coef. chik." sheetId="3" r:id="rId7"/>
    <sheet state="visible" name="coef. dengue" sheetId="4" r:id="rId8"/>
    <sheet state="visible" name=" pluviosidade" sheetId="5" r:id="rId9"/>
    <sheet state="visible" name="Estabelecimentos" sheetId="6" r:id="rId10"/>
    <sheet state="visible" name="Residuos" sheetId="7" r:id="rId11"/>
  </sheets>
  <definedNames>
    <definedName hidden="1" localSheetId="0" name="_xlnm._FilterDatabase">'decisão'!$A$1:$H$76</definedName>
    <definedName hidden="1" localSheetId="4" name="_xlnm._FilterDatabase">' pluviosidade'!$A$9:$E$84</definedName>
  </definedNames>
  <calcPr/>
</workbook>
</file>

<file path=xl/sharedStrings.xml><?xml version="1.0" encoding="utf-8"?>
<sst xmlns="http://schemas.openxmlformats.org/spreadsheetml/2006/main" count="831" uniqueCount="260">
  <si>
    <t>Município</t>
  </si>
  <si>
    <t>Cidades</t>
  </si>
  <si>
    <t>População</t>
  </si>
  <si>
    <t>Casos</t>
  </si>
  <si>
    <t>Área (km²)</t>
  </si>
  <si>
    <t>Estabelecimentos</t>
  </si>
  <si>
    <t>Coeficiente</t>
  </si>
  <si>
    <t>Densidade (hab/km²)</t>
  </si>
  <si>
    <t>IIP media (2025)</t>
  </si>
  <si>
    <t>Densidade pop.</t>
  </si>
  <si>
    <t>Amparo de São Francisco</t>
  </si>
  <si>
    <t>Coef. Inci. Chik</t>
  </si>
  <si>
    <t>Coef. Inci Deg.</t>
  </si>
  <si>
    <t>Pluviosidade</t>
  </si>
  <si>
    <t>Residuos</t>
  </si>
  <si>
    <t>AMPARO DO SAO FRANCISCO</t>
  </si>
  <si>
    <t>Aquidabā</t>
  </si>
  <si>
    <t>AQUIDABA</t>
  </si>
  <si>
    <t>Aracaju</t>
  </si>
  <si>
    <t>ARACAJU</t>
  </si>
  <si>
    <t>Arauá</t>
  </si>
  <si>
    <t>ARAUA</t>
  </si>
  <si>
    <t>Areia Branca</t>
  </si>
  <si>
    <t>28,79</t>
  </si>
  <si>
    <t>AREIA BRANCA</t>
  </si>
  <si>
    <t>Barra dos Coqueiros</t>
  </si>
  <si>
    <t>65,71</t>
  </si>
  <si>
    <t>Boquim</t>
  </si>
  <si>
    <t>BARRA DOS COQUEIROS</t>
  </si>
  <si>
    <t>Brejo Grande</t>
  </si>
  <si>
    <t>71,52</t>
  </si>
  <si>
    <t>BOQUIM</t>
  </si>
  <si>
    <t>Campo do Brito</t>
  </si>
  <si>
    <t>84,4</t>
  </si>
  <si>
    <t>Canhoba</t>
  </si>
  <si>
    <t>BREJO GRANDE</t>
  </si>
  <si>
    <t>Canindé de São Francisco</t>
  </si>
  <si>
    <t>88,39</t>
  </si>
  <si>
    <t>CAMPO DO BRITO</t>
  </si>
  <si>
    <t>Capela</t>
  </si>
  <si>
    <t>79,21</t>
  </si>
  <si>
    <t>Carira</t>
  </si>
  <si>
    <t>CANHOBA</t>
  </si>
  <si>
    <t>Carmópolis</t>
  </si>
  <si>
    <t>CANINDE DE SAO FRANCISCO</t>
  </si>
  <si>
    <t>Cedro de São João</t>
  </si>
  <si>
    <t>Cristinápolis</t>
  </si>
  <si>
    <t>CAPELA</t>
  </si>
  <si>
    <t>Cumbe</t>
  </si>
  <si>
    <t>87,29</t>
  </si>
  <si>
    <t>Dados extraidos em 12/03/2026</t>
  </si>
  <si>
    <t>CARIRA</t>
  </si>
  <si>
    <t>Divina Pastora</t>
  </si>
  <si>
    <t>55,81</t>
  </si>
  <si>
    <t>CARMOPOLIS</t>
  </si>
  <si>
    <t>https://www.gov.br/saude/pt-br/assuntos/saude-de-a-a-z/a/aedes-aegypti/monitoramento-das-arboviroses</t>
  </si>
  <si>
    <t xml:space="preserve">
Dados extraidos em 12/03/2026</t>
  </si>
  <si>
    <t>Estância</t>
  </si>
  <si>
    <t>CEDRO DE SAO JOAO</t>
  </si>
  <si>
    <t>https://pt.wikipedia.org/wiki/Lista_de_municípios_de_Sergipe_por_área</t>
  </si>
  <si>
    <t>91,46</t>
  </si>
  <si>
    <t>Feira Nova</t>
  </si>
  <si>
    <t>CRISTINAPOLIS</t>
  </si>
  <si>
    <t>https://pt.wikipedia.org/wiki/Lista_de_municípios_de_Sergipe_por_população</t>
  </si>
  <si>
    <t>Frei Paulo</t>
  </si>
  <si>
    <t>CUMBE</t>
  </si>
  <si>
    <t>IBGE</t>
  </si>
  <si>
    <t>Gararu</t>
  </si>
  <si>
    <t>59,55</t>
  </si>
  <si>
    <t>DIVINA PASTORA</t>
  </si>
  <si>
    <t>General Maynard</t>
  </si>
  <si>
    <t>Graccho Cardoso</t>
  </si>
  <si>
    <t>ESTANCIA</t>
  </si>
  <si>
    <t>Ilha das Flores</t>
  </si>
  <si>
    <t>FEIRA NOVA</t>
  </si>
  <si>
    <t>Indiaroba</t>
  </si>
  <si>
    <t>49,71</t>
  </si>
  <si>
    <t>Itabaiana</t>
  </si>
  <si>
    <t>FREI PAULO</t>
  </si>
  <si>
    <t>Itabaianinha</t>
  </si>
  <si>
    <t>GARARU</t>
  </si>
  <si>
    <t>Itabi</t>
  </si>
  <si>
    <t>13,38</t>
  </si>
  <si>
    <t>GENERAL MAYNARD</t>
  </si>
  <si>
    <t>Itaporanga d’Ajuda</t>
  </si>
  <si>
    <t>Japaratuba</t>
  </si>
  <si>
    <t>GRACHO CARDOSO</t>
  </si>
  <si>
    <t>99,07</t>
  </si>
  <si>
    <t>Japoatã</t>
  </si>
  <si>
    <t>ILHA DAS FLORES</t>
  </si>
  <si>
    <t>Lagarto</t>
  </si>
  <si>
    <t>47,59</t>
  </si>
  <si>
    <t>INDIAROBA</t>
  </si>
  <si>
    <t>Laranjeiras</t>
  </si>
  <si>
    <t>61,17</t>
  </si>
  <si>
    <t>Macambira</t>
  </si>
  <si>
    <t>ITABAIANA</t>
  </si>
  <si>
    <t>Malhada dos Bois</t>
  </si>
  <si>
    <t>77,86</t>
  </si>
  <si>
    <t>ITABAIANINHA</t>
  </si>
  <si>
    <t>Malhador</t>
  </si>
  <si>
    <t>60,85</t>
  </si>
  <si>
    <t>Maruim</t>
  </si>
  <si>
    <t>ITABI</t>
  </si>
  <si>
    <t>Moita Bonita</t>
  </si>
  <si>
    <t>ITAPORANGA D'AJUDA</t>
  </si>
  <si>
    <t>Monte Alegre de Sergipe</t>
  </si>
  <si>
    <t>67,07</t>
  </si>
  <si>
    <t>Muribeca</t>
  </si>
  <si>
    <t>JAPARATUBA</t>
  </si>
  <si>
    <t>Neópolis</t>
  </si>
  <si>
    <t>77,95</t>
  </si>
  <si>
    <t>JAPOATA</t>
  </si>
  <si>
    <t>Nossa Senhora Aparecida</t>
  </si>
  <si>
    <t>LAGARTO</t>
  </si>
  <si>
    <t>Nossa Senhora da Glória</t>
  </si>
  <si>
    <t>87,72</t>
  </si>
  <si>
    <t>Nossa Senhora das Dores</t>
  </si>
  <si>
    <t>LARANJEIRAS</t>
  </si>
  <si>
    <t>Nossa Senhora de Lourdes</t>
  </si>
  <si>
    <t>99,12</t>
  </si>
  <si>
    <t>MACAMBIRA</t>
  </si>
  <si>
    <t>Nossa Senhora do Socorro</t>
  </si>
  <si>
    <t>94,95</t>
  </si>
  <si>
    <t>Pacatuba</t>
  </si>
  <si>
    <t>MALHADA DOS BOIS</t>
  </si>
  <si>
    <t>Pedra Mole</t>
  </si>
  <si>
    <t>82,99</t>
  </si>
  <si>
    <t>MALHADOR</t>
  </si>
  <si>
    <t>Pedrinhas</t>
  </si>
  <si>
    <t>Pinhão</t>
  </si>
  <si>
    <t>MARUIM</t>
  </si>
  <si>
    <t>Pirambu</t>
  </si>
  <si>
    <t>Poço Redondo</t>
  </si>
  <si>
    <t>MOITA BONITA</t>
  </si>
  <si>
    <t>Poço Verde</t>
  </si>
  <si>
    <t>91,66</t>
  </si>
  <si>
    <t>MONTE ALEGRE DE SERGIPE</t>
  </si>
  <si>
    <t>Porto da Folha</t>
  </si>
  <si>
    <t>82,87</t>
  </si>
  <si>
    <t>Propriá</t>
  </si>
  <si>
    <t>MURIBECA</t>
  </si>
  <si>
    <t>Riachão do Dantas</t>
  </si>
  <si>
    <t>65,82</t>
  </si>
  <si>
    <t>NEOPOLIS</t>
  </si>
  <si>
    <t>Riachuelo</t>
  </si>
  <si>
    <t>Ribeirópolis</t>
  </si>
  <si>
    <t>96,46</t>
  </si>
  <si>
    <t>NOSSA SENHORA APARECIDA</t>
  </si>
  <si>
    <t>Rosário do Catete</t>
  </si>
  <si>
    <t>Salgado</t>
  </si>
  <si>
    <t>NOSSA SENHORA DA GLORIA</t>
  </si>
  <si>
    <t>Santa Luzia do Itanhy</t>
  </si>
  <si>
    <t>NOSSA SENHORA DAS DORES</t>
  </si>
  <si>
    <t>Santa Rosa de Lima</t>
  </si>
  <si>
    <t>Santana do São Francisco</t>
  </si>
  <si>
    <t>88,17</t>
  </si>
  <si>
    <t>NOSSA SENHORA DE LOURDES</t>
  </si>
  <si>
    <t>Santo Amaro das Brotas</t>
  </si>
  <si>
    <t>78,98</t>
  </si>
  <si>
    <t>São Cristóvão</t>
  </si>
  <si>
    <t>NOSSA SENHORA DO SOCORRO</t>
  </si>
  <si>
    <t>São Domingos</t>
  </si>
  <si>
    <t>96,63</t>
  </si>
  <si>
    <t>PACATUBA</t>
  </si>
  <si>
    <t>São Francisco</t>
  </si>
  <si>
    <t>99,84</t>
  </si>
  <si>
    <t>São Miguel do Aleixo</t>
  </si>
  <si>
    <t>PEDRA MOLE</t>
  </si>
  <si>
    <t>Simão Dias</t>
  </si>
  <si>
    <t>96,26</t>
  </si>
  <si>
    <t>PEDRINHAS</t>
  </si>
  <si>
    <t>Siriri</t>
  </si>
  <si>
    <t>Telha</t>
  </si>
  <si>
    <t>87,03</t>
  </si>
  <si>
    <t>PINHAO</t>
  </si>
  <si>
    <t>Tobias Barreto</t>
  </si>
  <si>
    <t>83,71</t>
  </si>
  <si>
    <t>Tomar do Geru</t>
  </si>
  <si>
    <t>PIRAMBU</t>
  </si>
  <si>
    <t>62,56</t>
  </si>
  <si>
    <t>Umbaúba</t>
  </si>
  <si>
    <t>POCO REDONDO</t>
  </si>
  <si>
    <t>79,94</t>
  </si>
  <si>
    <t>POCO VERDE</t>
  </si>
  <si>
    <t>59,06</t>
  </si>
  <si>
    <t>PORTO DA FOLHA</t>
  </si>
  <si>
    <t>PROPRIA</t>
  </si>
  <si>
    <t>RIACHAO DO DANTAS</t>
  </si>
  <si>
    <t>99,02</t>
  </si>
  <si>
    <t>RIACHUELO</t>
  </si>
  <si>
    <t>RIBEIROPOLIS</t>
  </si>
  <si>
    <t>58,13</t>
  </si>
  <si>
    <t>ROSARIO DO CATETE</t>
  </si>
  <si>
    <t>SALGADO</t>
  </si>
  <si>
    <t>58,59</t>
  </si>
  <si>
    <t>SANTA LUZIA DO ITANHY</t>
  </si>
  <si>
    <t>58,17</t>
  </si>
  <si>
    <t>SANTA ROSA DE LIMA</t>
  </si>
  <si>
    <t>SANTANA DO SAO FRANCISCO</t>
  </si>
  <si>
    <r>
      <rPr>
        <rFont val="Arial"/>
      </rPr>
      <t xml:space="preserve">Clima tempo - </t>
    </r>
    <r>
      <rPr>
        <rFont val="Arial"/>
        <color rgb="FF1155CC"/>
        <u/>
      </rPr>
      <t>https://www.climatempo.com.br/climatologia/384/aracaju-se</t>
    </r>
    <r>
      <rPr>
        <rFont val="Arial"/>
      </rPr>
      <t xml:space="preserve"> - série de dados de 30 anos (pesquisado também por outros municipios)</t>
    </r>
  </si>
  <si>
    <t>SANTO AMARO DAS BROTAS</t>
  </si>
  <si>
    <t>https://www.se.gov.br/noticias/governo/sergipe-saiba-mais-sobre-os-oito-territorios-do-estado</t>
  </si>
  <si>
    <t>89,26</t>
  </si>
  <si>
    <t>SAO CRISTOVAO</t>
  </si>
  <si>
    <t>Unidades</t>
  </si>
  <si>
    <t>https://emdagro.se.gov.br/wp-content/uploads/2025/10/SERGIPE-PLUVIOSIDADE-MEDIA-MENSAL-POR-MUNICIPIO-JAN-DEZ-2025-9.pdf</t>
  </si>
  <si>
    <t>Hab</t>
  </si>
  <si>
    <t>Hab/1000</t>
  </si>
  <si>
    <t>https://www.aguaesaneamento.org.br/municipios-e-saneamento/se/aracaju#:~:text=O%20município%20ARACAJU%20gera%2030.600,esgotos%20na%20natureza%20sem%20tratamento.</t>
  </si>
  <si>
    <t>Uni/Hab</t>
  </si>
  <si>
    <t>89,09</t>
  </si>
  <si>
    <t>AMPARO DE SAO FRANCISCO</t>
  </si>
  <si>
    <t>Território</t>
  </si>
  <si>
    <t>Média Pluviosidade (Jan-Set) (mm)</t>
  </si>
  <si>
    <t>SAO DOMINGOS</t>
  </si>
  <si>
    <t>Fonte dos Dados</t>
  </si>
  <si>
    <t>Coluna 1</t>
  </si>
  <si>
    <t>Amparo do S. Francisco</t>
  </si>
  <si>
    <t>BAIXO S. FRANCISCO</t>
  </si>
  <si>
    <t>95,88</t>
  </si>
  <si>
    <t>SAO FRANCISCO</t>
  </si>
  <si>
    <t>Documento</t>
  </si>
  <si>
    <t>Aquidabã</t>
  </si>
  <si>
    <t>MEDIO SERTÃO SERGIPANO</t>
  </si>
  <si>
    <t>UBS/ mil habitantes</t>
  </si>
  <si>
    <t>68,49</t>
  </si>
  <si>
    <t>GRANDE ARACAJU</t>
  </si>
  <si>
    <t>SAO MIGUEL DO ALEIXO</t>
  </si>
  <si>
    <t>climatempo</t>
  </si>
  <si>
    <r>
      <rPr>
        <color rgb="FF1155CC"/>
        <u/>
      </rPr>
      <t>Painel de Indicadores</t>
    </r>
  </si>
  <si>
    <t>SUL SERGIPANO</t>
  </si>
  <si>
    <t>72,09</t>
  </si>
  <si>
    <t>AGRESTE CENTRAL SERGIPANO</t>
  </si>
  <si>
    <r>
      <rPr>
        <rFont val="Arial,sans-serif"/>
        <color rgb="FF1155CC"/>
        <sz val="11.0"/>
        <u/>
      </rPr>
      <t>https://elasticnes.saude.gov.br/geral</t>
    </r>
  </si>
  <si>
    <t>SIMAO DIAS</t>
  </si>
  <si>
    <t>https://www.aguaesaneamento.org.br/municipios-e-saneamento/explore-compare</t>
  </si>
  <si>
    <t>83,36</t>
  </si>
  <si>
    <t>Breio Grande</t>
  </si>
  <si>
    <t>SIRIRI</t>
  </si>
  <si>
    <t xml:space="preserve"> SNIS 2022</t>
  </si>
  <si>
    <t>TELHA</t>
  </si>
  <si>
    <t>Canindé do S. Francisco</t>
  </si>
  <si>
    <t>ALTO SERTÃO SERGIPANO</t>
  </si>
  <si>
    <t>LESTE SERGIPANO</t>
  </si>
  <si>
    <t>24,19</t>
  </si>
  <si>
    <t>TOBIAS BARRETO</t>
  </si>
  <si>
    <t>SNIS 2022</t>
  </si>
  <si>
    <t>95,69</t>
  </si>
  <si>
    <t>TOMAR DO GERU</t>
  </si>
  <si>
    <t>Itaporanga d Ajuda</t>
  </si>
  <si>
    <t>UMBAUBA</t>
  </si>
  <si>
    <t>Itaporanga D'Ajuda</t>
  </si>
  <si>
    <t>CENTRO SUL</t>
  </si>
  <si>
    <t>Monte Alegre</t>
  </si>
  <si>
    <t>N. S. Aparecida</t>
  </si>
  <si>
    <t>N. S. da Glória</t>
  </si>
  <si>
    <t>N. S. do Socorro</t>
  </si>
  <si>
    <t>N. S. Lourdes</t>
  </si>
  <si>
    <t>Santana S Francisco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</si>
</sst>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"/>
  </numFmts>
  <fonts count="12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  <font>
      <color rgb="FF434343"/>
      <name val="Roboto"/>
    </font>
    <font>
      <b/>
      <sz val="11.0"/>
      <color rgb="FF000000"/>
      <name val="Arial"/>
    </font>
    <font>
      <b/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  <name val="Arial"/>
    </font>
    <font>
      <sz val="11.0"/>
      <color theme="1"/>
      <name val="Calibri"/>
    </font>
    <font>
      <color rgb="FF000000"/>
      <name val="'Times New Roman'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2" fillId="2" fontId="3" numFmtId="3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2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2" xfId="0" applyAlignment="1" applyFont="1" applyNumberForma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1"/>
    </xf>
    <xf borderId="2" fillId="2" fontId="3" numFmtId="0" xfId="0" applyAlignment="1" applyBorder="1" applyFont="1">
      <alignment horizontal="center" shrinkToFit="0" vertical="center" wrapText="0"/>
    </xf>
    <xf borderId="0" fillId="0" fontId="4" numFmtId="2" xfId="0" applyAlignment="1" applyFont="1" applyNumberFormat="1">
      <alignment readingOrder="0" shrinkToFit="0" vertical="center" wrapText="1"/>
    </xf>
    <xf borderId="3" fillId="3" fontId="3" numFmtId="0" xfId="0" applyAlignment="1" applyBorder="1" applyFill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4" fillId="3" fontId="3" numFmtId="3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vertical="center" wrapText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right" readingOrder="0"/>
    </xf>
    <xf borderId="4" fillId="3" fontId="3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0" fontId="4" numFmtId="164" xfId="0" applyAlignment="1" applyFont="1" applyNumberFormat="1">
      <alignment readingOrder="0" shrinkToFit="0" vertical="center" wrapText="1"/>
    </xf>
    <xf borderId="5" fillId="2" fontId="3" numFmtId="0" xfId="0" applyAlignment="1" applyBorder="1" applyFont="1">
      <alignment shrinkToFit="0" vertical="center" wrapText="0"/>
    </xf>
    <xf borderId="6" fillId="2" fontId="3" numFmtId="3" xfId="0" applyAlignment="1" applyBorder="1" applyFont="1" applyNumberFormat="1">
      <alignment horizontal="right" shrinkToFit="0" vertical="center" wrapText="0"/>
    </xf>
    <xf borderId="0" fillId="0" fontId="4" numFmtId="2" xfId="0" applyAlignment="1" applyFont="1" applyNumberFormat="1">
      <alignment readingOrder="0" shrinkToFit="0" vertical="center" wrapText="1"/>
    </xf>
    <xf borderId="0" fillId="0" fontId="2" numFmtId="0" xfId="0" applyFont="1"/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7" fillId="0" fontId="9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7" fillId="0" fontId="9" numFmtId="0" xfId="0" applyAlignment="1" applyBorder="1" applyFont="1">
      <alignment horizontal="right" vertical="bottom"/>
    </xf>
    <xf borderId="0" fillId="0" fontId="10" numFmtId="0" xfId="0" applyAlignment="1" applyFont="1">
      <alignment readingOrder="0"/>
    </xf>
    <xf borderId="0" fillId="0" fontId="2" numFmtId="0" xfId="0" applyFont="1"/>
    <xf borderId="0" fillId="0" fontId="7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shrinkToFit="0" vertical="bottom" wrapText="0"/>
    </xf>
    <xf borderId="2" fillId="2" fontId="3" numFmtId="3" xfId="0" applyAlignment="1" applyBorder="1" applyFont="1" applyNumberFormat="1">
      <alignment horizontal="right" shrinkToFit="0" wrapText="0"/>
    </xf>
    <xf borderId="0" fillId="0" fontId="7" numFmtId="0" xfId="0" applyAlignment="1" applyFont="1">
      <alignment horizontal="right" readingOrder="0" shrinkToFit="0" vertical="bottom" wrapText="0"/>
    </xf>
    <xf borderId="0" fillId="2" fontId="3" numFmtId="2" xfId="0" applyAlignment="1" applyFont="1" applyNumberFormat="1">
      <alignment horizontal="right" shrinkToFit="0" wrapText="0"/>
    </xf>
    <xf borderId="0" fillId="0" fontId="11" numFmtId="0" xfId="0" applyAlignment="1" applyFont="1">
      <alignment readingOrder="0"/>
    </xf>
    <xf borderId="0" fillId="0" fontId="7" numFmtId="0" xfId="0" applyAlignment="1" applyFont="1">
      <alignment horizontal="right" shrinkToFit="0" vertical="bottom" wrapText="0"/>
    </xf>
    <xf borderId="4" fillId="3" fontId="3" numFmtId="3" xfId="0" applyAlignment="1" applyBorder="1" applyFont="1" applyNumberFormat="1">
      <alignment horizontal="right" shrinkToFit="0" wrapText="0"/>
    </xf>
    <xf borderId="0" fillId="0" fontId="7" numFmtId="0" xfId="0" applyAlignment="1" applyFont="1">
      <alignment readingOrder="0" shrinkToFit="0" vertical="bottom" wrapText="0"/>
    </xf>
    <xf borderId="7" fillId="0" fontId="9" numFmtId="0" xfId="0" applyAlignment="1" applyBorder="1" applyFont="1">
      <alignment readingOrder="0" vertical="bottom"/>
    </xf>
    <xf borderId="7" fillId="0" fontId="9" numFmtId="0" xfId="0" applyAlignment="1" applyBorder="1" applyFont="1">
      <alignment horizontal="right" readingOrder="0" vertical="bottom"/>
    </xf>
    <xf borderId="6" fillId="2" fontId="3" numFmtId="0" xfId="0" applyAlignment="1" applyBorder="1" applyFont="1">
      <alignment horizontal="center" shrinkToFit="0" vertical="center" wrapText="0"/>
    </xf>
    <xf borderId="0" fillId="0" fontId="2" numFmtId="2" xfId="0" applyFont="1" applyNumberFormat="1"/>
    <xf borderId="6" fillId="2" fontId="3" numFmtId="3" xfId="0" applyAlignment="1" applyBorder="1" applyFont="1" applyNumberFormat="1">
      <alignment horizontal="right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coef. chik.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sã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ef. dengu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nsida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pluviosida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Estabelecimentos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76" displayName="Tabela_6" name="Tabela_6" id="1">
  <autoFilter ref="$A$1:$H$76"/>
  <tableColumns count="8">
    <tableColumn name="Cidades" id="1"/>
    <tableColumn name="Estabelecimentos" id="2"/>
    <tableColumn name="IIP media (2025)" id="3"/>
    <tableColumn name="Densidade pop." id="4"/>
    <tableColumn name="Coef. Inci. Chik" id="5"/>
    <tableColumn name="Coef. Inci Deg." id="6"/>
    <tableColumn name="Pluviosidade" id="7"/>
    <tableColumn name="Residuos" id="8"/>
  </tableColumns>
  <tableStyleInfo name="decisão-style" showColumnStripes="0" showFirstColumn="1" showLastColumn="1" showRowStripes="1"/>
</table>
</file>

<file path=xl/tables/table2.xml><?xml version="1.0" encoding="utf-8"?>
<table xmlns="http://schemas.openxmlformats.org/spreadsheetml/2006/main" ref="A1:D76" displayName="Tabela_2" name="Tabela_2" id="4">
  <tableColumns count="4">
    <tableColumn name="Município" id="1"/>
    <tableColumn name="População" id="2"/>
    <tableColumn name="Área (km²)" id="3"/>
    <tableColumn name="Densidade (hab/km²)" id="4"/>
  </tableColumns>
  <tableStyleInfo name="densidade-style" showColumnStripes="0" showFirstColumn="1" showLastColumn="1" showRowStripes="1"/>
</table>
</file>

<file path=xl/tables/table3.xml><?xml version="1.0" encoding="utf-8"?>
<table xmlns="http://schemas.openxmlformats.org/spreadsheetml/2006/main" ref="A1:D76" displayName="Tabela_3" name="Tabela_3" id="3">
  <tableColumns count="4">
    <tableColumn name="Município" id="1"/>
    <tableColumn name="População" id="2"/>
    <tableColumn name="Casos" id="3"/>
    <tableColumn name="Coeficiente" id="4"/>
  </tableColumns>
  <tableStyleInfo name="coef. chik.-style" showColumnStripes="0" showFirstColumn="1" showLastColumn="1" showRowStripes="1"/>
</table>
</file>

<file path=xl/tables/table4.xml><?xml version="1.0" encoding="utf-8"?>
<table xmlns="http://schemas.openxmlformats.org/spreadsheetml/2006/main" ref="A1:D76" displayName="Tabela_8" name="Tabela_8" id="2">
  <tableColumns count="4">
    <tableColumn name="Município" id="1"/>
    <tableColumn name="População" id="2"/>
    <tableColumn name="Casos" id="3"/>
    <tableColumn name="Coeficiente" id="4"/>
  </tableColumns>
  <tableStyleInfo name="coef. dengue-style" showColumnStripes="0" showFirstColumn="1" showLastColumn="1" showRowStripes="1"/>
</table>
</file>

<file path=xl/tables/table5.xml><?xml version="1.0" encoding="utf-8"?>
<table xmlns="http://schemas.openxmlformats.org/spreadsheetml/2006/main" ref="A9:E84" displayName="Tabela_7" name="Tabela_7" id="5">
  <autoFilter ref="$A$9:$E$84"/>
  <tableColumns count="5">
    <tableColumn name="Município" id="1"/>
    <tableColumn name="Território" id="2"/>
    <tableColumn name="Média Pluviosidade (Jan-Set) (mm)" id="3"/>
    <tableColumn name="Fonte dos Dados" id="4"/>
    <tableColumn name="Coluna 1" id="5"/>
  </tableColumns>
  <tableStyleInfo name=" pluviosidade-style" showColumnStripes="0" showFirstColumn="1" showLastColumn="1" showRowStripes="1"/>
</table>
</file>

<file path=xl/tables/table6.xml><?xml version="1.0" encoding="utf-8"?>
<table xmlns="http://schemas.openxmlformats.org/spreadsheetml/2006/main" headerRowCount="0" ref="A2:E76" displayName="Table_1" name="Table_1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Estabelecimen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saude/pt-br/assuntos/saude-de-a-a-z/a/aedes-aegypti/monitoramento-das-arboviroses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saude/pt-br/assuntos/saude-de-a-a-z/a/aedes-aegypti/monitoramento-das-arboviroses" TargetMode="External"/><Relationship Id="rId2" Type="http://schemas.openxmlformats.org/officeDocument/2006/relationships/drawing" Target="../drawings/drawing4.xml"/><Relationship Id="rId4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limatempo.com.br/climatologia/384/aracaju-se" TargetMode="External"/><Relationship Id="rId2" Type="http://schemas.openxmlformats.org/officeDocument/2006/relationships/hyperlink" Target="https://www.se.gov.br/noticias/governo/sergipe-saiba-mais-sobre-os-oito-territorios-do-estado" TargetMode="External"/><Relationship Id="rId3" Type="http://schemas.openxmlformats.org/officeDocument/2006/relationships/hyperlink" Target="https://emdagro.se.gov.br/wp-content/uploads/2025/10/SERGIPE-PLUVIOSIDADE-MEDIA-MENSAL-POR-MUNICIPIO-JAN-DEZ-2025-9.pdf" TargetMode="External"/><Relationship Id="rId4" Type="http://schemas.openxmlformats.org/officeDocument/2006/relationships/drawing" Target="../drawings/drawing5.xml"/><Relationship Id="rId6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elasticnes.saude.gov.br/geral" TargetMode="External"/><Relationship Id="rId2" Type="http://schemas.openxmlformats.org/officeDocument/2006/relationships/drawing" Target="../drawings/drawing6.xml"/><Relationship Id="rId4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guaesaneamento.org.br/municipios-e-saneamento/se/aracaju" TargetMode="External"/><Relationship Id="rId2" Type="http://schemas.openxmlformats.org/officeDocument/2006/relationships/hyperlink" Target="https://indicadores-sinisa-2025.cidades.gov.br/dashboard?modulo=residuos_solidos" TargetMode="External"/><Relationship Id="rId3" Type="http://schemas.openxmlformats.org/officeDocument/2006/relationships/hyperlink" Target="https://www.aguaesaneamento.org.br/municipios-e-saneamento/explore-compare" TargetMode="External"/><Relationship Id="rId4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5"/>
    <col customWidth="1" min="2" max="2" width="22.0"/>
    <col customWidth="1" min="3" max="3" width="33.63"/>
    <col customWidth="1" min="4" max="4" width="20.25"/>
    <col customWidth="1" min="5" max="5" width="19.88"/>
    <col customWidth="1" min="6" max="6" width="19.5"/>
    <col customWidth="1" min="7" max="7" width="18.25"/>
  </cols>
  <sheetData>
    <row r="1" ht="22.5" customHeight="1">
      <c r="A1" s="2" t="s">
        <v>1</v>
      </c>
      <c r="B1" s="2" t="s">
        <v>5</v>
      </c>
      <c r="C1" s="2" t="s">
        <v>8</v>
      </c>
      <c r="D1" s="2" t="s">
        <v>9</v>
      </c>
      <c r="E1" s="2" t="s">
        <v>11</v>
      </c>
      <c r="F1" s="2" t="s">
        <v>12</v>
      </c>
      <c r="G1" s="2" t="s">
        <v>13</v>
      </c>
      <c r="H1" s="5" t="s">
        <v>14</v>
      </c>
    </row>
    <row r="2" ht="22.5" customHeight="1">
      <c r="A2" s="7" t="s">
        <v>15</v>
      </c>
      <c r="B2" s="8">
        <v>4.087193460490464</v>
      </c>
      <c r="C2" s="9">
        <v>0.0</v>
      </c>
      <c r="D2" s="8">
        <v>62.3266345881687</v>
      </c>
      <c r="E2" s="10">
        <v>0.0</v>
      </c>
      <c r="F2" s="10">
        <v>0.0</v>
      </c>
      <c r="G2" s="9">
        <v>51.7</v>
      </c>
      <c r="H2" s="12">
        <v>100.0</v>
      </c>
    </row>
    <row r="3" ht="22.5" customHeight="1">
      <c r="A3" s="15" t="s">
        <v>17</v>
      </c>
      <c r="B3" s="8">
        <v>1.1188947266005058</v>
      </c>
      <c r="C3" s="9">
        <v>0.98334</v>
      </c>
      <c r="D3" s="8">
        <v>57.17257741076867</v>
      </c>
      <c r="E3" s="10">
        <v>14.594279042615295</v>
      </c>
      <c r="F3" s="10">
        <v>24.323798404358826</v>
      </c>
      <c r="G3" s="18">
        <v>92.1</v>
      </c>
      <c r="H3" s="21">
        <v>83.0</v>
      </c>
    </row>
    <row r="4" ht="22.5" customHeight="1">
      <c r="A4" s="15" t="s">
        <v>19</v>
      </c>
      <c r="B4" s="8">
        <v>5.629766757748854</v>
      </c>
      <c r="C4" s="9">
        <v>1.334</v>
      </c>
      <c r="D4" s="8">
        <v>3463.5573634601974</v>
      </c>
      <c r="E4" s="10">
        <v>11.253193688067812</v>
      </c>
      <c r="F4" s="10">
        <v>37.88046889363672</v>
      </c>
      <c r="G4" s="9">
        <v>102.0</v>
      </c>
      <c r="H4" s="12">
        <v>100.0</v>
      </c>
    </row>
    <row r="5" ht="22.5" customHeight="1">
      <c r="A5" s="15" t="s">
        <v>21</v>
      </c>
      <c r="B5" s="8">
        <v>1.43348623853211</v>
      </c>
      <c r="C5" s="9">
        <v>1.0334</v>
      </c>
      <c r="D5" s="8">
        <v>52.59163579890132</v>
      </c>
      <c r="E5" s="10">
        <v>28.6697247706422</v>
      </c>
      <c r="F5" s="10">
        <v>9.556574923547402</v>
      </c>
      <c r="G5" s="18">
        <v>148.3</v>
      </c>
      <c r="H5" s="21" t="s">
        <v>23</v>
      </c>
    </row>
    <row r="6" ht="22.5" customHeight="1">
      <c r="A6" s="15" t="s">
        <v>24</v>
      </c>
      <c r="B6" s="8">
        <v>1.2348330290991087</v>
      </c>
      <c r="C6" s="9">
        <v>1.7834</v>
      </c>
      <c r="D6" s="8">
        <v>125.73750793200752</v>
      </c>
      <c r="E6" s="10">
        <v>0.0</v>
      </c>
      <c r="F6" s="10">
        <v>5.368839256952646</v>
      </c>
      <c r="G6" s="9">
        <v>136.0</v>
      </c>
      <c r="H6" s="12" t="s">
        <v>26</v>
      </c>
    </row>
    <row r="7" ht="22.5" customHeight="1">
      <c r="A7" s="15" t="s">
        <v>28</v>
      </c>
      <c r="B7" s="8">
        <v>0.8633093525179857</v>
      </c>
      <c r="C7" s="9">
        <v>2.466667</v>
      </c>
      <c r="D7" s="8">
        <v>489.6063640698834</v>
      </c>
      <c r="E7" s="10">
        <v>4.427227448810183</v>
      </c>
      <c r="F7" s="10">
        <v>30.99059214167128</v>
      </c>
      <c r="G7" s="9">
        <v>102.0</v>
      </c>
      <c r="H7" s="21" t="s">
        <v>30</v>
      </c>
    </row>
    <row r="8" ht="22.5" customHeight="1">
      <c r="A8" s="15" t="s">
        <v>31</v>
      </c>
      <c r="B8" s="8">
        <v>1.3196305034590314</v>
      </c>
      <c r="C8" s="9">
        <v>2.15</v>
      </c>
      <c r="D8" s="8">
        <v>121.60394470028156</v>
      </c>
      <c r="E8" s="10">
        <v>11.996640940536649</v>
      </c>
      <c r="F8" s="10">
        <v>39.98880313512216</v>
      </c>
      <c r="G8" s="18">
        <v>119.7</v>
      </c>
      <c r="H8" s="12" t="s">
        <v>33</v>
      </c>
    </row>
    <row r="9" ht="22.5" customHeight="1">
      <c r="A9" s="15" t="s">
        <v>35</v>
      </c>
      <c r="B9" s="8">
        <v>0.6230529595015576</v>
      </c>
      <c r="C9" s="9">
        <v>1.23334</v>
      </c>
      <c r="D9" s="8">
        <v>55.772932926532626</v>
      </c>
      <c r="E9" s="10">
        <v>0.0</v>
      </c>
      <c r="F9" s="10">
        <v>74.76635514018692</v>
      </c>
      <c r="G9" s="18">
        <v>140.7</v>
      </c>
      <c r="H9" s="21" t="s">
        <v>37</v>
      </c>
    </row>
    <row r="10" ht="22.5" customHeight="1">
      <c r="A10" s="15" t="s">
        <v>38</v>
      </c>
      <c r="B10" s="8">
        <v>1.3889630856349162</v>
      </c>
      <c r="C10" s="9">
        <v>0.25</v>
      </c>
      <c r="D10" s="8">
        <v>92.90517904558651</v>
      </c>
      <c r="E10" s="10">
        <v>0.0</v>
      </c>
      <c r="F10" s="10">
        <v>16.026497141941345</v>
      </c>
      <c r="G10" s="9">
        <v>65.0</v>
      </c>
      <c r="H10" s="12" t="s">
        <v>40</v>
      </c>
    </row>
    <row r="11" ht="22.5" customHeight="1">
      <c r="A11" s="15" t="s">
        <v>42</v>
      </c>
      <c r="B11" s="8">
        <v>2.857142857142857</v>
      </c>
      <c r="C11" s="18">
        <v>0.15</v>
      </c>
      <c r="D11" s="8">
        <v>22.764900662251655</v>
      </c>
      <c r="E11" s="10">
        <v>0.0</v>
      </c>
      <c r="F11" s="10">
        <v>51.94805194805195</v>
      </c>
      <c r="G11" s="9">
        <v>65.8</v>
      </c>
      <c r="H11" s="21">
        <v>94.96</v>
      </c>
    </row>
    <row r="12" ht="22.5" customHeight="1">
      <c r="A12" s="15" t="s">
        <v>44</v>
      </c>
      <c r="B12" s="8">
        <v>0.8323177075592284</v>
      </c>
      <c r="C12" s="9">
        <v>0.36667</v>
      </c>
      <c r="D12" s="8">
        <v>36.038767305110945</v>
      </c>
      <c r="E12" s="10">
        <v>2.9725632412829586</v>
      </c>
      <c r="F12" s="10">
        <v>32.698195654112546</v>
      </c>
      <c r="G12" s="9">
        <v>30.7</v>
      </c>
      <c r="H12" s="12">
        <v>100.0</v>
      </c>
    </row>
    <row r="13" ht="22.5" customHeight="1">
      <c r="A13" s="15" t="s">
        <v>47</v>
      </c>
      <c r="B13" s="8">
        <v>1.037122899063539</v>
      </c>
      <c r="C13" s="9">
        <v>1.95</v>
      </c>
      <c r="D13" s="8">
        <v>74.13429335769575</v>
      </c>
      <c r="E13" s="10">
        <v>0.0</v>
      </c>
      <c r="F13" s="10">
        <v>9.151084403501814</v>
      </c>
      <c r="G13" s="18">
        <v>182.4</v>
      </c>
      <c r="H13" s="21" t="s">
        <v>49</v>
      </c>
    </row>
    <row r="14" ht="22.5" customHeight="1">
      <c r="A14" s="15" t="s">
        <v>51</v>
      </c>
      <c r="B14" s="8">
        <v>1.0337698139214335</v>
      </c>
      <c r="C14" s="9">
        <v>2.033334</v>
      </c>
      <c r="D14" s="8">
        <v>31.803088253021947</v>
      </c>
      <c r="E14" s="10">
        <v>0.0</v>
      </c>
      <c r="F14" s="10">
        <v>0.0</v>
      </c>
      <c r="G14" s="9">
        <v>45.0</v>
      </c>
      <c r="H14" s="12" t="s">
        <v>53</v>
      </c>
    </row>
    <row r="15" ht="22.5" customHeight="1">
      <c r="A15" s="15" t="s">
        <v>54</v>
      </c>
      <c r="B15" s="8">
        <v>1.408153207068929</v>
      </c>
      <c r="C15" s="9">
        <v>1.5</v>
      </c>
      <c r="D15" s="8">
        <v>306.13212630671404</v>
      </c>
      <c r="E15" s="10">
        <v>7.040766035344646</v>
      </c>
      <c r="F15" s="10">
        <v>35.20383017672323</v>
      </c>
      <c r="G15" s="9">
        <v>86.334</v>
      </c>
      <c r="H15" s="21">
        <v>100.0</v>
      </c>
    </row>
    <row r="16" ht="22.5" customHeight="1">
      <c r="A16" s="15" t="s">
        <v>58</v>
      </c>
      <c r="B16" s="8">
        <v>2.1921812203142124</v>
      </c>
      <c r="C16" s="9">
        <v>1.3</v>
      </c>
      <c r="D16" s="8">
        <v>65.39164506456738</v>
      </c>
      <c r="E16" s="10">
        <v>18.268176835951774</v>
      </c>
      <c r="F16" s="10">
        <v>91.34088417975886</v>
      </c>
      <c r="G16" s="9">
        <v>53.25</v>
      </c>
      <c r="H16" s="12" t="s">
        <v>60</v>
      </c>
    </row>
    <row r="17" ht="22.5" customHeight="1">
      <c r="A17" s="15" t="s">
        <v>62</v>
      </c>
      <c r="B17" s="8">
        <v>1.1367511651699442</v>
      </c>
      <c r="C17" s="9">
        <v>0.883334</v>
      </c>
      <c r="D17" s="8">
        <v>76.97894607886032</v>
      </c>
      <c r="E17" s="10">
        <v>0.0</v>
      </c>
      <c r="F17" s="10">
        <v>0.0</v>
      </c>
      <c r="G17" s="18">
        <v>150.3</v>
      </c>
      <c r="H17" s="21">
        <v>100.0</v>
      </c>
    </row>
    <row r="18" ht="22.5" customHeight="1">
      <c r="A18" s="15" t="s">
        <v>65</v>
      </c>
      <c r="B18" s="8">
        <v>2.066115702479339</v>
      </c>
      <c r="C18" s="9">
        <v>3.38334</v>
      </c>
      <c r="D18" s="8">
        <v>30.157407335290866</v>
      </c>
      <c r="E18" s="10">
        <v>0.0</v>
      </c>
      <c r="F18" s="10">
        <v>77.47933884297521</v>
      </c>
      <c r="G18" s="9">
        <v>50.33</v>
      </c>
      <c r="H18" s="12" t="s">
        <v>68</v>
      </c>
    </row>
    <row r="19" ht="22.5" customHeight="1">
      <c r="A19" s="15" t="s">
        <v>69</v>
      </c>
      <c r="B19" s="8">
        <v>2.0288548241659154</v>
      </c>
      <c r="C19" s="9">
        <v>1.6666667</v>
      </c>
      <c r="D19" s="8">
        <v>49.10991054822425</v>
      </c>
      <c r="E19" s="10">
        <v>0.0</v>
      </c>
      <c r="F19" s="10">
        <v>22.542831379621283</v>
      </c>
      <c r="G19" s="9">
        <v>77.083</v>
      </c>
      <c r="H19" s="21">
        <v>100.0</v>
      </c>
    </row>
    <row r="20" ht="22.5" customHeight="1">
      <c r="A20" s="15" t="s">
        <v>72</v>
      </c>
      <c r="B20" s="8">
        <v>1.3719057560393677</v>
      </c>
      <c r="C20" s="9">
        <v>0.9166667</v>
      </c>
      <c r="D20" s="8">
        <v>103.59252576682567</v>
      </c>
      <c r="E20" s="10">
        <v>8.94721145243066</v>
      </c>
      <c r="F20" s="10">
        <v>20.876826722338205</v>
      </c>
      <c r="G20" s="18">
        <v>151.2</v>
      </c>
      <c r="H20" s="12">
        <v>100.0</v>
      </c>
    </row>
    <row r="21" ht="22.5" customHeight="1">
      <c r="A21" s="15" t="s">
        <v>74</v>
      </c>
      <c r="B21" s="8">
        <v>1.4155394778232149</v>
      </c>
      <c r="C21" s="9">
        <v>1.4166667</v>
      </c>
      <c r="D21" s="8">
        <v>34.69141662983637</v>
      </c>
      <c r="E21" s="10">
        <v>0.0</v>
      </c>
      <c r="F21" s="10">
        <v>94.36929852154766</v>
      </c>
      <c r="G21" s="18">
        <v>72.8</v>
      </c>
      <c r="H21" s="21" t="s">
        <v>76</v>
      </c>
    </row>
    <row r="22" ht="22.5" customHeight="1">
      <c r="A22" s="15" t="s">
        <v>78</v>
      </c>
      <c r="B22" s="8">
        <v>0.9382749145499631</v>
      </c>
      <c r="C22" s="9">
        <v>2.85</v>
      </c>
      <c r="D22" s="8">
        <v>37.37931449127958</v>
      </c>
      <c r="E22" s="10">
        <v>0.0</v>
      </c>
      <c r="F22" s="10">
        <v>0.0</v>
      </c>
      <c r="G22" s="9">
        <v>74.8</v>
      </c>
      <c r="H22" s="12">
        <v>68.82</v>
      </c>
    </row>
    <row r="23" ht="22.5" customHeight="1">
      <c r="A23" s="15" t="s">
        <v>80</v>
      </c>
      <c r="B23" s="8">
        <v>0.8854258898530193</v>
      </c>
      <c r="C23" s="9">
        <v>2.85</v>
      </c>
      <c r="D23" s="8">
        <v>17.265707528637318</v>
      </c>
      <c r="E23" s="10">
        <v>8.854258898530194</v>
      </c>
      <c r="F23" s="10">
        <v>61.979812289711354</v>
      </c>
      <c r="G23" s="9">
        <v>56.5</v>
      </c>
      <c r="H23" s="21" t="s">
        <v>82</v>
      </c>
    </row>
    <row r="24" ht="22.5" customHeight="1">
      <c r="A24" s="15" t="s">
        <v>83</v>
      </c>
      <c r="B24" s="8">
        <v>1.603592046183451</v>
      </c>
      <c r="C24" s="9">
        <v>1.975</v>
      </c>
      <c r="D24" s="8">
        <v>157.53044005456476</v>
      </c>
      <c r="E24" s="10">
        <v>0.0</v>
      </c>
      <c r="F24" s="10">
        <v>0.0</v>
      </c>
      <c r="G24" s="9">
        <v>86.334</v>
      </c>
      <c r="H24" s="12">
        <v>98.78</v>
      </c>
    </row>
    <row r="25" ht="22.5" customHeight="1">
      <c r="A25" s="15" t="s">
        <v>86</v>
      </c>
      <c r="B25" s="8">
        <v>1.5228426395939085</v>
      </c>
      <c r="C25" s="9">
        <v>2.35</v>
      </c>
      <c r="D25" s="8">
        <v>24.35315787521788</v>
      </c>
      <c r="E25" s="10">
        <v>16.920473773265652</v>
      </c>
      <c r="F25" s="10">
        <v>101.5228426395939</v>
      </c>
      <c r="G25" s="9">
        <v>50.33</v>
      </c>
      <c r="H25" s="21" t="s">
        <v>87</v>
      </c>
    </row>
    <row r="26" ht="22.5" customHeight="1">
      <c r="A26" s="15" t="s">
        <v>89</v>
      </c>
      <c r="B26" s="8">
        <v>0.9412872102600305</v>
      </c>
      <c r="C26" s="9">
        <v>1.05</v>
      </c>
      <c r="D26" s="8">
        <v>155.64793788000878</v>
      </c>
      <c r="E26" s="10">
        <v>0.0</v>
      </c>
      <c r="F26" s="10">
        <v>0.0</v>
      </c>
      <c r="G26" s="9">
        <v>132.4</v>
      </c>
      <c r="H26" s="12" t="s">
        <v>91</v>
      </c>
    </row>
    <row r="27" ht="22.5" customHeight="1">
      <c r="A27" s="15" t="s">
        <v>92</v>
      </c>
      <c r="B27" s="8">
        <v>1.353657818845271</v>
      </c>
      <c r="C27" s="9">
        <v>0.3</v>
      </c>
      <c r="D27" s="8">
        <v>53.71527206970245</v>
      </c>
      <c r="E27" s="10">
        <v>5.885468777588135</v>
      </c>
      <c r="F27" s="10">
        <v>5.885468777588135</v>
      </c>
      <c r="G27" s="9">
        <v>85.25</v>
      </c>
      <c r="H27" s="21" t="s">
        <v>94</v>
      </c>
    </row>
    <row r="28" ht="22.5" customHeight="1">
      <c r="A28" s="15" t="s">
        <v>96</v>
      </c>
      <c r="B28" s="8">
        <v>1.9130434782608696</v>
      </c>
      <c r="C28" s="9">
        <v>3.983334</v>
      </c>
      <c r="D28" s="8">
        <v>323.90044323218547</v>
      </c>
      <c r="E28" s="10">
        <v>2.745995423340961</v>
      </c>
      <c r="F28" s="10">
        <v>10.068649885583524</v>
      </c>
      <c r="G28" s="9">
        <v>85.4</v>
      </c>
      <c r="H28" s="12" t="s">
        <v>98</v>
      </c>
    </row>
    <row r="29" ht="22.5" customHeight="1">
      <c r="A29" s="15" t="s">
        <v>99</v>
      </c>
      <c r="B29" s="8">
        <v>0.9235140895098272</v>
      </c>
      <c r="C29" s="9">
        <v>2.083334</v>
      </c>
      <c r="D29" s="8">
        <v>84.15804094907472</v>
      </c>
      <c r="E29" s="10">
        <v>7.103954534690978</v>
      </c>
      <c r="F29" s="10">
        <v>9.47193937958797</v>
      </c>
      <c r="G29" s="9">
        <v>67.25</v>
      </c>
      <c r="H29" s="21" t="s">
        <v>101</v>
      </c>
    </row>
    <row r="30" ht="22.5" customHeight="1">
      <c r="A30" s="15" t="s">
        <v>103</v>
      </c>
      <c r="B30" s="8">
        <v>1.6856300042140748</v>
      </c>
      <c r="C30" s="9">
        <v>1.1666667</v>
      </c>
      <c r="D30" s="8">
        <v>25.87475875303944</v>
      </c>
      <c r="E30" s="10">
        <v>0.0</v>
      </c>
      <c r="F30" s="10">
        <v>168.56300042140748</v>
      </c>
      <c r="G30" s="18">
        <v>73.5</v>
      </c>
      <c r="H30" s="12">
        <v>77.98</v>
      </c>
    </row>
    <row r="31" ht="22.5" customHeight="1">
      <c r="A31" s="15" t="s">
        <v>105</v>
      </c>
      <c r="B31" s="8">
        <v>1.4969229916283195</v>
      </c>
      <c r="C31" s="9">
        <v>1.0</v>
      </c>
      <c r="D31" s="8">
        <v>48.76828776993979</v>
      </c>
      <c r="E31" s="10">
        <v>2.772079614126518</v>
      </c>
      <c r="F31" s="10">
        <v>8.316238842379553</v>
      </c>
      <c r="G31" s="18">
        <v>165.6</v>
      </c>
      <c r="H31" s="21" t="s">
        <v>107</v>
      </c>
    </row>
    <row r="32" ht="22.5" customHeight="1">
      <c r="A32" s="15" t="s">
        <v>109</v>
      </c>
      <c r="B32" s="8">
        <v>1.823597349705185</v>
      </c>
      <c r="C32" s="9">
        <v>1.8166667</v>
      </c>
      <c r="D32" s="8">
        <v>44.98778977075397</v>
      </c>
      <c r="E32" s="10">
        <v>0.0</v>
      </c>
      <c r="F32" s="10">
        <v>6.0786578323506175</v>
      </c>
      <c r="G32" s="18">
        <v>161.5</v>
      </c>
      <c r="H32" s="12" t="s">
        <v>111</v>
      </c>
    </row>
    <row r="33" ht="22.5" customHeight="1">
      <c r="A33" s="15" t="s">
        <v>112</v>
      </c>
      <c r="B33" s="8">
        <v>1.1659258179698315</v>
      </c>
      <c r="C33" s="9">
        <v>2.8833334</v>
      </c>
      <c r="D33" s="8">
        <v>34.10686635864527</v>
      </c>
      <c r="E33" s="10">
        <v>0.0</v>
      </c>
      <c r="F33" s="10">
        <v>21.861109086934345</v>
      </c>
      <c r="G33" s="9">
        <v>91.8</v>
      </c>
      <c r="H33" s="21">
        <v>74.59</v>
      </c>
    </row>
    <row r="34" ht="22.5" customHeight="1">
      <c r="A34" s="15" t="s">
        <v>114</v>
      </c>
      <c r="B34" s="8">
        <v>1.54779769151637</v>
      </c>
      <c r="C34" s="9">
        <v>2.416666667</v>
      </c>
      <c r="D34" s="8">
        <v>109.3556647033143</v>
      </c>
      <c r="E34" s="10">
        <v>2.8313372405787254</v>
      </c>
      <c r="F34" s="10">
        <v>12.26912804250781</v>
      </c>
      <c r="G34" s="9">
        <v>96.2</v>
      </c>
      <c r="H34" s="12" t="s">
        <v>116</v>
      </c>
    </row>
    <row r="35" ht="22.5" customHeight="1">
      <c r="A35" s="15" t="s">
        <v>118</v>
      </c>
      <c r="B35" s="8">
        <v>1.0812159520938163</v>
      </c>
      <c r="C35" s="9">
        <v>1.9666667</v>
      </c>
      <c r="D35" s="8">
        <v>148.1885464618267</v>
      </c>
      <c r="E35" s="10">
        <v>8.317045785337049</v>
      </c>
      <c r="F35" s="10">
        <v>20.792614463342623</v>
      </c>
      <c r="G35" s="9">
        <v>77.083</v>
      </c>
      <c r="H35" s="21" t="s">
        <v>120</v>
      </c>
    </row>
    <row r="36" ht="22.5" customHeight="1">
      <c r="A36" s="15" t="s">
        <v>121</v>
      </c>
      <c r="B36" s="8">
        <v>1.7026106696935301</v>
      </c>
      <c r="C36" s="9">
        <v>0.6</v>
      </c>
      <c r="D36" s="8">
        <v>51.247373281271585</v>
      </c>
      <c r="E36" s="10">
        <v>0.0</v>
      </c>
      <c r="F36" s="10">
        <v>0.0</v>
      </c>
      <c r="G36" s="9">
        <v>25.8</v>
      </c>
      <c r="H36" s="12" t="s">
        <v>123</v>
      </c>
    </row>
    <row r="37" ht="22.5" customHeight="1">
      <c r="A37" s="15" t="s">
        <v>125</v>
      </c>
      <c r="B37" s="8">
        <v>2.4496461622210126</v>
      </c>
      <c r="C37" s="9">
        <v>1.7</v>
      </c>
      <c r="D37" s="8">
        <v>58.13383123150683</v>
      </c>
      <c r="E37" s="10">
        <v>0.0</v>
      </c>
      <c r="F37" s="10">
        <v>81.65487207403375</v>
      </c>
      <c r="G37" s="9">
        <v>53.25</v>
      </c>
      <c r="H37" s="21" t="s">
        <v>127</v>
      </c>
    </row>
    <row r="38" ht="22.5" customHeight="1">
      <c r="A38" s="15" t="s">
        <v>128</v>
      </c>
      <c r="B38" s="8">
        <v>1.0245901639344261</v>
      </c>
      <c r="C38" s="9">
        <v>2.0333334</v>
      </c>
      <c r="D38" s="8">
        <v>114.94974874371859</v>
      </c>
      <c r="E38" s="10">
        <v>0.0</v>
      </c>
      <c r="F38" s="10">
        <v>8.53825136612022</v>
      </c>
      <c r="G38" s="9">
        <v>106.0</v>
      </c>
      <c r="H38" s="12">
        <v>100.0</v>
      </c>
    </row>
    <row r="39" ht="22.5" customHeight="1">
      <c r="A39" s="15" t="s">
        <v>131</v>
      </c>
      <c r="B39" s="8">
        <v>1.0654299323138632</v>
      </c>
      <c r="C39" s="9">
        <v>1.125</v>
      </c>
      <c r="D39" s="8">
        <v>166.9841136948741</v>
      </c>
      <c r="E39" s="10">
        <v>0.0</v>
      </c>
      <c r="F39" s="10">
        <v>0.0</v>
      </c>
      <c r="G39" s="9">
        <v>86.333</v>
      </c>
      <c r="H39" s="21">
        <v>99.13</v>
      </c>
    </row>
    <row r="40" ht="22.5" customHeight="1">
      <c r="A40" s="15" t="s">
        <v>134</v>
      </c>
      <c r="B40" s="8">
        <v>1.5048242896344162</v>
      </c>
      <c r="C40" s="9">
        <v>1.8</v>
      </c>
      <c r="D40" s="8">
        <v>118.39733378049803</v>
      </c>
      <c r="E40" s="10">
        <v>44.259537930424</v>
      </c>
      <c r="F40" s="10">
        <v>123.92670620518722</v>
      </c>
      <c r="G40" s="9">
        <v>64.4167</v>
      </c>
      <c r="H40" s="12" t="s">
        <v>136</v>
      </c>
    </row>
    <row r="41" ht="22.5" customHeight="1">
      <c r="A41" s="15" t="s">
        <v>137</v>
      </c>
      <c r="B41" s="8">
        <v>0.8118530545971179</v>
      </c>
      <c r="C41" s="9">
        <v>1.23333334</v>
      </c>
      <c r="D41" s="8">
        <v>38.2030777501512</v>
      </c>
      <c r="E41" s="10">
        <v>0.0</v>
      </c>
      <c r="F41" s="10">
        <v>74.41986333806915</v>
      </c>
      <c r="G41" s="9">
        <v>47.0</v>
      </c>
      <c r="H41" s="21" t="s">
        <v>139</v>
      </c>
    </row>
    <row r="42" ht="22.5" customHeight="1">
      <c r="A42" s="15" t="s">
        <v>141</v>
      </c>
      <c r="B42" s="8">
        <v>1.1167638664846755</v>
      </c>
      <c r="C42" s="9">
        <v>1.28333334</v>
      </c>
      <c r="D42" s="8">
        <v>108.45108329969048</v>
      </c>
      <c r="E42" s="10">
        <v>0.0</v>
      </c>
      <c r="F42" s="10">
        <v>24.816974810770567</v>
      </c>
      <c r="G42" s="9">
        <v>70.0834</v>
      </c>
      <c r="H42" s="12" t="s">
        <v>143</v>
      </c>
    </row>
    <row r="43" ht="22.5" customHeight="1">
      <c r="A43" s="15" t="s">
        <v>144</v>
      </c>
      <c r="B43" s="8">
        <v>2.063983488132095</v>
      </c>
      <c r="C43" s="9">
        <v>1.1666667</v>
      </c>
      <c r="D43" s="8">
        <v>61.8713520578713</v>
      </c>
      <c r="E43" s="10">
        <v>0.0</v>
      </c>
      <c r="F43" s="10">
        <v>30.352698354883753</v>
      </c>
      <c r="G43" s="9">
        <v>44.1</v>
      </c>
      <c r="H43" s="21" t="s">
        <v>147</v>
      </c>
    </row>
    <row r="44" ht="22.5" customHeight="1">
      <c r="A44" s="15" t="s">
        <v>148</v>
      </c>
      <c r="B44" s="8">
        <v>1.0488777008600796</v>
      </c>
      <c r="C44" s="9">
        <v>2.033333334</v>
      </c>
      <c r="D44" s="8">
        <v>27.97190487087859</v>
      </c>
      <c r="E44" s="10">
        <v>0.0</v>
      </c>
      <c r="F44" s="10">
        <v>52.44388504300399</v>
      </c>
      <c r="G44" s="9">
        <v>56.7</v>
      </c>
      <c r="H44" s="12">
        <v>68.08</v>
      </c>
    </row>
    <row r="45" ht="22.5" customHeight="1">
      <c r="A45" s="15" t="s">
        <v>151</v>
      </c>
      <c r="B45" s="8">
        <v>1.442109600329625</v>
      </c>
      <c r="C45" s="9">
        <v>4.7666667</v>
      </c>
      <c r="D45" s="8">
        <v>57.60018986465551</v>
      </c>
      <c r="E45" s="10">
        <v>0.0</v>
      </c>
      <c r="F45" s="10">
        <v>75.53907430298035</v>
      </c>
      <c r="G45" s="9">
        <v>77.083</v>
      </c>
      <c r="H45" s="21">
        <v>100.0</v>
      </c>
    </row>
    <row r="46" ht="22.5" customHeight="1">
      <c r="A46" s="15" t="s">
        <v>153</v>
      </c>
      <c r="B46" s="8">
        <v>1.2515155070593298</v>
      </c>
      <c r="C46" s="9">
        <v>3.466667</v>
      </c>
      <c r="D46" s="8">
        <v>53.003841218576326</v>
      </c>
      <c r="E46" s="10">
        <v>3.9109859595604055</v>
      </c>
      <c r="F46" s="10">
        <v>23.465915757362435</v>
      </c>
      <c r="G46" s="9">
        <v>83.3</v>
      </c>
      <c r="H46" s="12" t="s">
        <v>156</v>
      </c>
    </row>
    <row r="47" ht="22.5" customHeight="1">
      <c r="A47" s="15" t="s">
        <v>157</v>
      </c>
      <c r="B47" s="8">
        <v>1.2482446559525668</v>
      </c>
      <c r="C47" s="9">
        <v>0.7</v>
      </c>
      <c r="D47" s="8">
        <v>78.3908411512164</v>
      </c>
      <c r="E47" s="10">
        <v>15.603058199407085</v>
      </c>
      <c r="F47" s="10">
        <v>15.603058199407085</v>
      </c>
      <c r="G47" s="9">
        <v>130.7</v>
      </c>
      <c r="H47" s="21" t="s">
        <v>159</v>
      </c>
    </row>
    <row r="48" ht="22.5" customHeight="1">
      <c r="A48" s="15" t="s">
        <v>161</v>
      </c>
      <c r="B48" s="8">
        <v>0.6811021114165454</v>
      </c>
      <c r="C48" s="9">
        <v>0.983334</v>
      </c>
      <c r="D48" s="8">
        <v>1316.4987291798373</v>
      </c>
      <c r="E48" s="10">
        <v>24.500075950235445</v>
      </c>
      <c r="F48" s="10">
        <v>52.92016405250856</v>
      </c>
      <c r="G48" s="18">
        <v>96.6</v>
      </c>
      <c r="H48" s="12" t="s">
        <v>163</v>
      </c>
    </row>
    <row r="49" ht="22.5" customHeight="1">
      <c r="A49" s="15" t="s">
        <v>164</v>
      </c>
      <c r="B49" s="8">
        <v>0.9517011658339282</v>
      </c>
      <c r="C49" s="9">
        <v>0.62</v>
      </c>
      <c r="D49" s="8">
        <v>33.05735289491071</v>
      </c>
      <c r="E49" s="10">
        <v>15.861686097232134</v>
      </c>
      <c r="F49" s="10">
        <v>39.65421524308034</v>
      </c>
      <c r="G49" s="9">
        <v>68.6667</v>
      </c>
      <c r="H49" s="21" t="s">
        <v>166</v>
      </c>
    </row>
    <row r="50" ht="22.5" customHeight="1">
      <c r="A50" s="15" t="s">
        <v>168</v>
      </c>
      <c r="B50" s="8">
        <v>2.8459622909996445</v>
      </c>
      <c r="C50" s="9">
        <v>3.33333334</v>
      </c>
      <c r="D50" s="8">
        <v>34.19624826646554</v>
      </c>
      <c r="E50" s="10">
        <v>0.0</v>
      </c>
      <c r="F50" s="10">
        <v>35.574528637495554</v>
      </c>
      <c r="G50" s="9">
        <v>65.3</v>
      </c>
      <c r="H50" s="12" t="s">
        <v>170</v>
      </c>
    </row>
    <row r="51" ht="22.5" customHeight="1">
      <c r="A51" s="15" t="s">
        <v>171</v>
      </c>
      <c r="B51" s="8">
        <v>1.087695445275323</v>
      </c>
      <c r="C51" s="9">
        <v>1.15</v>
      </c>
      <c r="D51" s="8">
        <v>221.9104513637461</v>
      </c>
      <c r="E51" s="10">
        <v>0.0</v>
      </c>
      <c r="F51" s="10">
        <v>13.596193065941536</v>
      </c>
      <c r="G51" s="18">
        <v>114.3</v>
      </c>
      <c r="H51" s="21" t="s">
        <v>174</v>
      </c>
    </row>
    <row r="52" ht="22.5" customHeight="1">
      <c r="A52" s="15" t="s">
        <v>175</v>
      </c>
      <c r="B52" s="8">
        <v>1.041847542976211</v>
      </c>
      <c r="C52" s="9">
        <v>1.38</v>
      </c>
      <c r="D52" s="8">
        <v>36.82648898210791</v>
      </c>
      <c r="E52" s="10">
        <v>0.0</v>
      </c>
      <c r="F52" s="10">
        <v>17.364125716270184</v>
      </c>
      <c r="G52" s="9">
        <v>47.3</v>
      </c>
      <c r="H52" s="12" t="s">
        <v>177</v>
      </c>
    </row>
    <row r="53" ht="22.5" customHeight="1">
      <c r="A53" s="15" t="s">
        <v>179</v>
      </c>
      <c r="B53" s="8">
        <v>2.368781947388106</v>
      </c>
      <c r="C53" s="9">
        <v>1.14</v>
      </c>
      <c r="D53" s="8">
        <v>38.43665690695367</v>
      </c>
      <c r="E53" s="10">
        <v>0.0</v>
      </c>
      <c r="F53" s="10">
        <v>0.0</v>
      </c>
      <c r="G53" s="9">
        <v>86.334</v>
      </c>
      <c r="H53" s="21" t="s">
        <v>180</v>
      </c>
    </row>
    <row r="54" ht="22.5" customHeight="1">
      <c r="A54" s="15" t="s">
        <v>182</v>
      </c>
      <c r="B54" s="8">
        <v>0.5814351186811684</v>
      </c>
      <c r="C54" s="9">
        <v>1.3</v>
      </c>
      <c r="D54" s="8">
        <v>23.993461252504957</v>
      </c>
      <c r="E54" s="10">
        <v>0.0</v>
      </c>
      <c r="F54" s="10">
        <v>20.521239482864768</v>
      </c>
      <c r="G54" s="9">
        <v>21.7</v>
      </c>
      <c r="H54" s="12" t="s">
        <v>183</v>
      </c>
    </row>
    <row r="55" ht="22.5" customHeight="1">
      <c r="A55" s="15" t="s">
        <v>184</v>
      </c>
      <c r="B55" s="8">
        <v>1.260296169599856</v>
      </c>
      <c r="C55" s="9">
        <v>1.45</v>
      </c>
      <c r="D55" s="8">
        <v>50.34147093078585</v>
      </c>
      <c r="E55" s="10">
        <v>0.0</v>
      </c>
      <c r="F55" s="10">
        <v>18.004230994283656</v>
      </c>
      <c r="G55" s="9">
        <v>46.2</v>
      </c>
      <c r="H55" s="21" t="s">
        <v>185</v>
      </c>
    </row>
    <row r="56" ht="22.5" customHeight="1">
      <c r="A56" s="15" t="s">
        <v>186</v>
      </c>
      <c r="B56" s="8">
        <v>0.8410121398274097</v>
      </c>
      <c r="C56" s="9">
        <v>1.44</v>
      </c>
      <c r="D56" s="8">
        <v>31.195176314114484</v>
      </c>
      <c r="E56" s="10">
        <v>10.969723562966212</v>
      </c>
      <c r="F56" s="10">
        <v>14.626298083954952</v>
      </c>
      <c r="G56" s="9">
        <v>37.8</v>
      </c>
      <c r="H56" s="12">
        <v>80.0</v>
      </c>
    </row>
    <row r="57" ht="22.5" customHeight="1">
      <c r="A57" s="15" t="s">
        <v>187</v>
      </c>
      <c r="B57" s="8">
        <v>2.425311432036159</v>
      </c>
      <c r="C57" s="9">
        <v>0.64</v>
      </c>
      <c r="D57" s="8">
        <v>290.48889837745514</v>
      </c>
      <c r="E57" s="10">
        <v>0.0</v>
      </c>
      <c r="F57" s="10">
        <v>69.81957152831367</v>
      </c>
      <c r="G57" s="9">
        <v>70.2</v>
      </c>
      <c r="H57" s="21">
        <v>100.0</v>
      </c>
    </row>
    <row r="58" ht="22.5" customHeight="1">
      <c r="A58" s="15" t="s">
        <v>188</v>
      </c>
      <c r="B58" s="8">
        <v>1.1326249932581844</v>
      </c>
      <c r="C58" s="9">
        <v>2.21666667</v>
      </c>
      <c r="D58" s="8">
        <v>34.94299924426176</v>
      </c>
      <c r="E58" s="10">
        <v>5.3934523488484984</v>
      </c>
      <c r="F58" s="10">
        <v>10.786904697696997</v>
      </c>
      <c r="G58" s="9">
        <v>102.8</v>
      </c>
      <c r="H58" s="12" t="s">
        <v>189</v>
      </c>
    </row>
    <row r="59" ht="22.5" customHeight="1">
      <c r="A59" s="15" t="s">
        <v>190</v>
      </c>
      <c r="B59" s="8">
        <v>1.2425166610188636</v>
      </c>
      <c r="C59" s="9">
        <v>1.2333334</v>
      </c>
      <c r="D59" s="8">
        <v>113.05358328650966</v>
      </c>
      <c r="E59" s="10">
        <v>0.0</v>
      </c>
      <c r="F59" s="10">
        <v>0.0</v>
      </c>
      <c r="G59" s="9">
        <v>77.083</v>
      </c>
      <c r="H59" s="21">
        <v>100.0</v>
      </c>
    </row>
    <row r="60" ht="22.5" customHeight="1">
      <c r="A60" s="15" t="s">
        <v>191</v>
      </c>
      <c r="B60" s="8">
        <v>1.4972646127267493</v>
      </c>
      <c r="C60" s="9">
        <v>1.283334</v>
      </c>
      <c r="D60" s="8">
        <v>67.04037865363307</v>
      </c>
      <c r="E60" s="10">
        <v>0.0</v>
      </c>
      <c r="F60" s="10">
        <v>0.0</v>
      </c>
      <c r="G60" s="9">
        <v>59.1</v>
      </c>
      <c r="H60" s="12" t="s">
        <v>192</v>
      </c>
    </row>
    <row r="61" ht="22.5" customHeight="1">
      <c r="A61" s="15" t="s">
        <v>193</v>
      </c>
      <c r="B61" s="8">
        <v>1.577784790154623</v>
      </c>
      <c r="C61" s="9">
        <v>1.9</v>
      </c>
      <c r="D61" s="8">
        <v>92.44996790944629</v>
      </c>
      <c r="E61" s="10">
        <v>0.0</v>
      </c>
      <c r="F61" s="10">
        <v>10.518565267697486</v>
      </c>
      <c r="G61" s="9">
        <v>86.334</v>
      </c>
      <c r="H61" s="21">
        <v>100.0</v>
      </c>
    </row>
    <row r="62" ht="22.5" customHeight="1">
      <c r="A62" s="15" t="s">
        <v>194</v>
      </c>
      <c r="B62" s="8">
        <v>1.440576230492197</v>
      </c>
      <c r="C62" s="9">
        <v>2.95</v>
      </c>
      <c r="D62" s="8">
        <v>84.11456545183557</v>
      </c>
      <c r="E62" s="10">
        <v>0.0</v>
      </c>
      <c r="F62" s="10">
        <v>14.40576230492197</v>
      </c>
      <c r="G62" s="18">
        <v>132.9</v>
      </c>
      <c r="H62" s="12" t="s">
        <v>195</v>
      </c>
    </row>
    <row r="63" ht="22.5" customHeight="1">
      <c r="A63" s="15" t="s">
        <v>196</v>
      </c>
      <c r="B63" s="8">
        <v>0.999785760194244</v>
      </c>
      <c r="C63" s="9">
        <v>2.983334</v>
      </c>
      <c r="D63" s="8">
        <v>43.05197719963844</v>
      </c>
      <c r="E63" s="10">
        <v>0.0</v>
      </c>
      <c r="F63" s="10">
        <v>7.141326858530316</v>
      </c>
      <c r="G63" s="9">
        <v>78.25</v>
      </c>
      <c r="H63" s="21" t="s">
        <v>197</v>
      </c>
    </row>
    <row r="64" ht="22.5" customHeight="1">
      <c r="A64" s="15" t="s">
        <v>198</v>
      </c>
      <c r="B64" s="8">
        <v>1.9757964929612248</v>
      </c>
      <c r="C64" s="9">
        <v>0.9833333333334</v>
      </c>
      <c r="D64" s="8">
        <v>59.83272254403594</v>
      </c>
      <c r="E64" s="10">
        <v>0.0</v>
      </c>
      <c r="F64" s="10">
        <v>222.2771054581378</v>
      </c>
      <c r="G64" s="9">
        <v>77.083</v>
      </c>
      <c r="H64" s="12">
        <v>93.42</v>
      </c>
    </row>
    <row r="65" ht="22.5" customHeight="1">
      <c r="A65" s="15" t="s">
        <v>199</v>
      </c>
      <c r="B65" s="8">
        <v>0.7948072592396344</v>
      </c>
      <c r="C65" s="9">
        <v>0.88333334</v>
      </c>
      <c r="D65" s="8">
        <v>167.36503713557258</v>
      </c>
      <c r="E65" s="10">
        <v>0.0</v>
      </c>
      <c r="F65" s="10">
        <v>39.74036296198172</v>
      </c>
      <c r="G65" s="9">
        <v>113.5</v>
      </c>
      <c r="H65" s="21">
        <v>100.0</v>
      </c>
    </row>
    <row r="66" ht="22.5" customHeight="1">
      <c r="A66" s="15" t="s">
        <v>201</v>
      </c>
      <c r="B66" s="8">
        <v>0.7086544423775357</v>
      </c>
      <c r="C66" s="9">
        <v>1.44</v>
      </c>
      <c r="D66" s="8">
        <v>47.63994682759057</v>
      </c>
      <c r="E66" s="10">
        <v>0.0</v>
      </c>
      <c r="F66" s="10">
        <v>8.858180529719196</v>
      </c>
      <c r="G66" s="9">
        <v>86.334</v>
      </c>
      <c r="H66" s="12" t="s">
        <v>203</v>
      </c>
    </row>
    <row r="67" ht="22.5" customHeight="1">
      <c r="A67" s="15" t="s">
        <v>204</v>
      </c>
      <c r="B67" s="8">
        <v>0.5928092241115273</v>
      </c>
      <c r="C67" s="9">
        <v>1.0833334</v>
      </c>
      <c r="D67" s="8">
        <v>231.0603898757411</v>
      </c>
      <c r="E67" s="10">
        <v>9.88015373519212</v>
      </c>
      <c r="F67" s="10">
        <v>21.736338217422663</v>
      </c>
      <c r="G67" s="9">
        <v>95.4167</v>
      </c>
      <c r="H67" s="21" t="s">
        <v>211</v>
      </c>
    </row>
    <row r="68" ht="22.5" customHeight="1">
      <c r="A68" s="15" t="s">
        <v>215</v>
      </c>
      <c r="B68" s="8">
        <v>1.4205890709347477</v>
      </c>
      <c r="C68" s="9">
        <v>1.116666667</v>
      </c>
      <c r="D68" s="8">
        <v>103.52062275120345</v>
      </c>
      <c r="E68" s="10">
        <v>0.0</v>
      </c>
      <c r="F68" s="10">
        <v>0.0</v>
      </c>
      <c r="G68" s="9">
        <v>65.0</v>
      </c>
      <c r="H68" s="12" t="s">
        <v>220</v>
      </c>
    </row>
    <row r="69" ht="22.5" customHeight="1">
      <c r="A69" s="15" t="s">
        <v>221</v>
      </c>
      <c r="B69" s="8">
        <v>1.8484288354898337</v>
      </c>
      <c r="C69" s="9">
        <v>1.78</v>
      </c>
      <c r="D69" s="8">
        <v>38.64975888551527</v>
      </c>
      <c r="E69" s="10">
        <v>0.0</v>
      </c>
      <c r="F69" s="10">
        <v>30.80714725816389</v>
      </c>
      <c r="G69" s="9">
        <v>53.25</v>
      </c>
      <c r="H69" s="21" t="s">
        <v>226</v>
      </c>
    </row>
    <row r="70" ht="22.5" customHeight="1">
      <c r="A70" s="15" t="s">
        <v>228</v>
      </c>
      <c r="B70" s="8">
        <v>2.592912705272256</v>
      </c>
      <c r="C70" s="9">
        <v>1.6666667</v>
      </c>
      <c r="D70" s="8">
        <v>23.965698188245693</v>
      </c>
      <c r="E70" s="10">
        <v>0.0</v>
      </c>
      <c r="F70" s="10">
        <v>86.4304235090752</v>
      </c>
      <c r="G70" s="9">
        <v>58.2</v>
      </c>
      <c r="H70" s="12" t="s">
        <v>232</v>
      </c>
    </row>
    <row r="71" ht="22.5" customHeight="1">
      <c r="A71" s="15" t="s">
        <v>235</v>
      </c>
      <c r="B71" s="8">
        <v>1.3931645057636564</v>
      </c>
      <c r="C71" s="9">
        <v>6.5333334</v>
      </c>
      <c r="D71" s="8">
        <v>79.44141278367152</v>
      </c>
      <c r="E71" s="10">
        <v>11.235197627126261</v>
      </c>
      <c r="F71" s="10">
        <v>22.470395254252523</v>
      </c>
      <c r="G71" s="9">
        <v>88.6</v>
      </c>
      <c r="H71" s="21" t="s">
        <v>237</v>
      </c>
    </row>
    <row r="72" ht="22.5" customHeight="1">
      <c r="A72" s="15" t="s">
        <v>239</v>
      </c>
      <c r="B72" s="8">
        <v>1.5035709810800653</v>
      </c>
      <c r="C72" s="9">
        <v>2.05</v>
      </c>
      <c r="D72" s="8">
        <v>47.40099303922267</v>
      </c>
      <c r="E72" s="10">
        <v>12.529758175667208</v>
      </c>
      <c r="F72" s="10">
        <v>37.58927452700163</v>
      </c>
      <c r="G72" s="9">
        <v>70.083</v>
      </c>
      <c r="H72" s="12">
        <v>100.0</v>
      </c>
    </row>
    <row r="73" ht="22.5" customHeight="1">
      <c r="A73" s="15" t="s">
        <v>241</v>
      </c>
      <c r="B73" s="8">
        <v>2.360578341693715</v>
      </c>
      <c r="C73" s="9">
        <v>1.46666667</v>
      </c>
      <c r="D73" s="8">
        <v>69.22259896237591</v>
      </c>
      <c r="E73" s="10">
        <v>0.0</v>
      </c>
      <c r="F73" s="10">
        <v>29.507229271171433</v>
      </c>
      <c r="G73" s="9">
        <v>53.25</v>
      </c>
      <c r="H73" s="21" t="s">
        <v>245</v>
      </c>
    </row>
    <row r="74" ht="22.5" customHeight="1">
      <c r="A74" s="15" t="s">
        <v>246</v>
      </c>
      <c r="B74" s="8">
        <v>1.1746206164863686</v>
      </c>
      <c r="C74" s="9">
        <v>1.7833334</v>
      </c>
      <c r="D74" s="8">
        <v>51.51345100010248</v>
      </c>
      <c r="E74" s="10">
        <v>7.578197525718507</v>
      </c>
      <c r="F74" s="10">
        <v>89.04382092719247</v>
      </c>
      <c r="G74" s="9">
        <v>68.2</v>
      </c>
      <c r="H74" s="12" t="s">
        <v>248</v>
      </c>
    </row>
    <row r="75" ht="22.5" customHeight="1">
      <c r="A75" s="15" t="s">
        <v>249</v>
      </c>
      <c r="B75" s="8">
        <v>1.157598809326939</v>
      </c>
      <c r="C75" s="9">
        <v>2.116667</v>
      </c>
      <c r="D75" s="8">
        <v>39.67366166180615</v>
      </c>
      <c r="E75" s="10">
        <v>0.0</v>
      </c>
      <c r="F75" s="10">
        <v>16.537125847527697</v>
      </c>
      <c r="G75" s="9">
        <v>67.25</v>
      </c>
      <c r="H75" s="21">
        <v>100.0</v>
      </c>
    </row>
    <row r="76" ht="22.5" customHeight="1">
      <c r="A76" s="15" t="s">
        <v>251</v>
      </c>
      <c r="B76" s="8">
        <v>0.8530343650987083</v>
      </c>
      <c r="C76" s="9">
        <v>1.0333334</v>
      </c>
      <c r="D76" s="8">
        <v>209.48993311435234</v>
      </c>
      <c r="E76" s="10">
        <v>4.062068405231944</v>
      </c>
      <c r="F76" s="10">
        <v>8.124136810463888</v>
      </c>
      <c r="G76" s="18">
        <v>139.6</v>
      </c>
      <c r="H76" s="47">
        <v>100.0</v>
      </c>
    </row>
    <row r="96">
      <c r="C96" s="48"/>
    </row>
    <row r="97">
      <c r="C97" s="48"/>
    </row>
    <row r="98">
      <c r="C98" s="48"/>
    </row>
    <row r="99">
      <c r="C99" s="48"/>
    </row>
    <row r="100">
      <c r="C100" s="48"/>
    </row>
    <row r="101">
      <c r="C101" s="48"/>
    </row>
    <row r="102">
      <c r="C102" s="48"/>
    </row>
    <row r="103">
      <c r="C103" s="48"/>
    </row>
    <row r="104">
      <c r="C104" s="48"/>
    </row>
    <row r="105">
      <c r="C105" s="48"/>
    </row>
    <row r="106">
      <c r="C106" s="48"/>
    </row>
    <row r="107">
      <c r="C107" s="48"/>
    </row>
    <row r="108">
      <c r="C108" s="48"/>
    </row>
    <row r="109">
      <c r="C109" s="48"/>
    </row>
    <row r="110">
      <c r="C110" s="48"/>
    </row>
    <row r="111">
      <c r="C111" s="48"/>
    </row>
    <row r="112">
      <c r="C112" s="48"/>
    </row>
    <row r="113">
      <c r="C113" s="48"/>
    </row>
    <row r="114">
      <c r="C114" s="48"/>
    </row>
    <row r="115">
      <c r="C115" s="48"/>
    </row>
    <row r="116">
      <c r="C116" s="48"/>
    </row>
    <row r="117">
      <c r="C117" s="48"/>
    </row>
    <row r="118">
      <c r="C118" s="48"/>
    </row>
    <row r="119">
      <c r="C119" s="48"/>
    </row>
    <row r="120">
      <c r="C120" s="48"/>
    </row>
    <row r="121">
      <c r="C121" s="48"/>
    </row>
    <row r="122">
      <c r="C122" s="48"/>
    </row>
    <row r="123">
      <c r="C123" s="48"/>
    </row>
    <row r="124">
      <c r="C124" s="48"/>
    </row>
    <row r="125">
      <c r="C125" s="48"/>
    </row>
    <row r="126">
      <c r="C126" s="48"/>
    </row>
    <row r="127">
      <c r="C127" s="48"/>
    </row>
    <row r="128">
      <c r="C128" s="48"/>
    </row>
    <row r="129">
      <c r="C129" s="48"/>
    </row>
    <row r="130">
      <c r="C130" s="48"/>
    </row>
    <row r="131">
      <c r="C131" s="48"/>
    </row>
    <row r="132">
      <c r="C132" s="48"/>
    </row>
    <row r="133">
      <c r="C133" s="48"/>
    </row>
    <row r="134">
      <c r="C134" s="48"/>
    </row>
    <row r="135">
      <c r="C135" s="48"/>
    </row>
    <row r="136">
      <c r="C136" s="48"/>
    </row>
    <row r="137">
      <c r="C137" s="48"/>
    </row>
    <row r="138">
      <c r="C138" s="48"/>
    </row>
    <row r="139">
      <c r="C139" s="48"/>
    </row>
    <row r="140">
      <c r="C140" s="48"/>
    </row>
    <row r="141">
      <c r="C141" s="48"/>
    </row>
    <row r="142">
      <c r="C142" s="48"/>
    </row>
    <row r="143">
      <c r="C143" s="48"/>
    </row>
    <row r="144">
      <c r="C144" s="48"/>
    </row>
    <row r="145">
      <c r="C145" s="48"/>
    </row>
    <row r="146">
      <c r="C146" s="48"/>
    </row>
    <row r="147">
      <c r="C147" s="48"/>
    </row>
    <row r="148">
      <c r="C148" s="48"/>
    </row>
    <row r="149">
      <c r="C149" s="48"/>
    </row>
    <row r="150">
      <c r="C150" s="48"/>
    </row>
    <row r="151">
      <c r="C151" s="48"/>
    </row>
    <row r="152">
      <c r="C152" s="48"/>
    </row>
    <row r="153">
      <c r="C153" s="48"/>
    </row>
    <row r="154">
      <c r="C154" s="48"/>
    </row>
    <row r="155">
      <c r="C155" s="48"/>
    </row>
    <row r="156">
      <c r="C156" s="48"/>
    </row>
    <row r="157">
      <c r="C157" s="48"/>
    </row>
    <row r="158">
      <c r="C158" s="48"/>
    </row>
    <row r="159">
      <c r="C159" s="48"/>
    </row>
    <row r="160">
      <c r="C160" s="48"/>
    </row>
    <row r="161">
      <c r="C161" s="48"/>
    </row>
    <row r="162">
      <c r="C162" s="48"/>
    </row>
    <row r="163">
      <c r="C163" s="48"/>
    </row>
    <row r="164">
      <c r="C164" s="48"/>
    </row>
    <row r="165">
      <c r="C165" s="48"/>
    </row>
    <row r="166">
      <c r="C166" s="48"/>
    </row>
    <row r="167">
      <c r="C167" s="48"/>
    </row>
    <row r="168">
      <c r="C168" s="48"/>
    </row>
    <row r="169">
      <c r="C169" s="48"/>
    </row>
    <row r="170">
      <c r="C170" s="48"/>
    </row>
  </sheetData>
  <dataValidations>
    <dataValidation type="custom" allowBlank="1" showDropDown="1" sqref="B2:G7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88"/>
  </cols>
  <sheetData>
    <row r="1" ht="22.5" customHeight="1">
      <c r="A1" s="1" t="s">
        <v>0</v>
      </c>
      <c r="B1" s="1" t="s">
        <v>2</v>
      </c>
      <c r="C1" s="1" t="s">
        <v>4</v>
      </c>
      <c r="D1" s="1" t="s">
        <v>7</v>
      </c>
    </row>
    <row r="2" ht="22.5" customHeight="1">
      <c r="A2" s="3" t="s">
        <v>10</v>
      </c>
      <c r="B2" s="4">
        <v>2202.0</v>
      </c>
      <c r="C2" s="6">
        <v>35.33</v>
      </c>
      <c r="D2" s="13">
        <f t="shared" ref="D2:D76" si="1">B2/C2</f>
        <v>62.32663459</v>
      </c>
    </row>
    <row r="3" ht="22.5" customHeight="1">
      <c r="A3" s="14" t="s">
        <v>16</v>
      </c>
      <c r="B3" s="16">
        <v>20556.0</v>
      </c>
      <c r="C3" s="6">
        <v>359.543</v>
      </c>
      <c r="D3" s="13">
        <f t="shared" si="1"/>
        <v>57.17257741</v>
      </c>
      <c r="I3" s="19"/>
      <c r="J3" s="19"/>
      <c r="K3" s="20"/>
      <c r="L3" s="20"/>
    </row>
    <row r="4" ht="22.5" customHeight="1">
      <c r="A4" s="3" t="s">
        <v>18</v>
      </c>
      <c r="B4" s="4">
        <v>630932.0</v>
      </c>
      <c r="C4" s="6">
        <v>182.163</v>
      </c>
      <c r="D4" s="13">
        <f t="shared" si="1"/>
        <v>3463.557363</v>
      </c>
      <c r="K4" s="22"/>
      <c r="L4" s="22"/>
    </row>
    <row r="5" ht="22.5" customHeight="1">
      <c r="A5" s="14" t="s">
        <v>20</v>
      </c>
      <c r="B5" s="16">
        <v>10464.0</v>
      </c>
      <c r="C5" s="6">
        <v>198.967</v>
      </c>
      <c r="D5" s="13">
        <f t="shared" si="1"/>
        <v>52.5916358</v>
      </c>
      <c r="K5" s="22"/>
      <c r="L5" s="22"/>
    </row>
    <row r="6" ht="22.5" customHeight="1">
      <c r="A6" s="3" t="s">
        <v>22</v>
      </c>
      <c r="B6" s="4">
        <v>18626.0</v>
      </c>
      <c r="C6" s="6">
        <v>148.134</v>
      </c>
      <c r="D6" s="13">
        <f t="shared" si="1"/>
        <v>125.7375079</v>
      </c>
      <c r="K6" s="22"/>
      <c r="L6" s="22"/>
    </row>
    <row r="7" ht="22.5" customHeight="1">
      <c r="A7" s="14" t="s">
        <v>25</v>
      </c>
      <c r="B7" s="16">
        <v>45175.0</v>
      </c>
      <c r="C7" s="6">
        <v>92.268</v>
      </c>
      <c r="D7" s="13">
        <f t="shared" si="1"/>
        <v>489.6063641</v>
      </c>
      <c r="K7" s="22"/>
      <c r="L7" s="22"/>
    </row>
    <row r="8" ht="22.5" customHeight="1">
      <c r="A8" s="3" t="s">
        <v>27</v>
      </c>
      <c r="B8" s="4">
        <v>25007.0</v>
      </c>
      <c r="C8" s="6">
        <v>205.643</v>
      </c>
      <c r="D8" s="13">
        <f t="shared" si="1"/>
        <v>121.6039447</v>
      </c>
      <c r="K8" s="22"/>
      <c r="L8" s="22"/>
    </row>
    <row r="9" ht="22.5" customHeight="1">
      <c r="A9" s="14" t="s">
        <v>29</v>
      </c>
      <c r="B9" s="16">
        <v>8025.0</v>
      </c>
      <c r="C9" s="6">
        <v>143.887</v>
      </c>
      <c r="D9" s="13">
        <f t="shared" si="1"/>
        <v>55.77293293</v>
      </c>
      <c r="K9" s="22"/>
      <c r="L9" s="22"/>
    </row>
    <row r="10" ht="22.5" customHeight="1">
      <c r="A10" s="3" t="s">
        <v>32</v>
      </c>
      <c r="B10" s="4">
        <v>18719.0</v>
      </c>
      <c r="C10" s="6">
        <v>201.485</v>
      </c>
      <c r="D10" s="13">
        <f t="shared" si="1"/>
        <v>92.90517905</v>
      </c>
      <c r="K10" s="22"/>
      <c r="L10" s="22"/>
    </row>
    <row r="11" ht="22.5" customHeight="1">
      <c r="A11" s="14" t="s">
        <v>34</v>
      </c>
      <c r="B11" s="16">
        <v>3850.0</v>
      </c>
      <c r="C11" s="6">
        <v>169.12</v>
      </c>
      <c r="D11" s="13">
        <f t="shared" si="1"/>
        <v>22.76490066</v>
      </c>
      <c r="K11" s="22"/>
      <c r="L11" s="22"/>
    </row>
    <row r="12" ht="22.5" customHeight="1">
      <c r="A12" s="3" t="s">
        <v>36</v>
      </c>
      <c r="B12" s="4">
        <v>33641.0</v>
      </c>
      <c r="C12" s="6">
        <v>933.467</v>
      </c>
      <c r="D12" s="13">
        <f t="shared" si="1"/>
        <v>36.03876731</v>
      </c>
      <c r="K12" s="22"/>
      <c r="L12" s="22"/>
    </row>
    <row r="13" ht="22.5" customHeight="1">
      <c r="A13" s="14" t="s">
        <v>39</v>
      </c>
      <c r="B13" s="16">
        <v>32783.0</v>
      </c>
      <c r="C13" s="6">
        <v>442.211</v>
      </c>
      <c r="D13" s="13">
        <f t="shared" si="1"/>
        <v>74.13429336</v>
      </c>
      <c r="K13" s="22"/>
      <c r="L13" s="22"/>
    </row>
    <row r="14" ht="22.5" customHeight="1">
      <c r="A14" s="3" t="s">
        <v>41</v>
      </c>
      <c r="B14" s="4">
        <v>20314.0</v>
      </c>
      <c r="C14" s="6">
        <v>638.743</v>
      </c>
      <c r="D14" s="13">
        <f t="shared" si="1"/>
        <v>31.80308825</v>
      </c>
      <c r="K14" s="22"/>
      <c r="L14" s="22"/>
    </row>
    <row r="15" ht="22.5" customHeight="1">
      <c r="A15" s="14" t="s">
        <v>43</v>
      </c>
      <c r="B15" s="16">
        <v>14203.0</v>
      </c>
      <c r="C15" s="6">
        <v>46.395</v>
      </c>
      <c r="D15" s="13">
        <f t="shared" si="1"/>
        <v>306.1321263</v>
      </c>
      <c r="K15" s="22"/>
      <c r="L15" s="22"/>
    </row>
    <row r="16" ht="22.5" customHeight="1">
      <c r="A16" s="3" t="s">
        <v>45</v>
      </c>
      <c r="B16" s="4">
        <v>5474.0</v>
      </c>
      <c r="C16" s="6">
        <v>83.711</v>
      </c>
      <c r="D16" s="13">
        <f t="shared" si="1"/>
        <v>65.39164506</v>
      </c>
      <c r="K16" s="22"/>
      <c r="L16" s="22"/>
    </row>
    <row r="17" ht="22.5" customHeight="1">
      <c r="A17" s="14" t="s">
        <v>46</v>
      </c>
      <c r="B17" s="16">
        <v>17594.0</v>
      </c>
      <c r="C17" s="6">
        <v>228.556</v>
      </c>
      <c r="D17" s="13">
        <f t="shared" si="1"/>
        <v>76.97894608</v>
      </c>
      <c r="K17" s="22"/>
      <c r="L17" s="22"/>
    </row>
    <row r="18" ht="22.5" customHeight="1">
      <c r="A18" s="3" t="s">
        <v>48</v>
      </c>
      <c r="B18" s="4">
        <v>3872.0</v>
      </c>
      <c r="C18" s="6">
        <v>128.393</v>
      </c>
      <c r="D18" s="13">
        <f t="shared" si="1"/>
        <v>30.15740734</v>
      </c>
      <c r="K18" s="22"/>
      <c r="L18" s="22"/>
    </row>
    <row r="19" ht="22.5" customHeight="1">
      <c r="A19" s="14" t="s">
        <v>52</v>
      </c>
      <c r="B19" s="16">
        <v>4436.0</v>
      </c>
      <c r="C19" s="6">
        <v>90.328</v>
      </c>
      <c r="D19" s="13">
        <f t="shared" si="1"/>
        <v>49.10991055</v>
      </c>
      <c r="K19" s="22"/>
      <c r="L19" s="22"/>
    </row>
    <row r="20" ht="22.5" customHeight="1">
      <c r="A20" s="3" t="s">
        <v>57</v>
      </c>
      <c r="B20" s="4">
        <v>67060.0</v>
      </c>
      <c r="C20" s="6">
        <v>647.344</v>
      </c>
      <c r="D20" s="13">
        <f t="shared" si="1"/>
        <v>103.5925258</v>
      </c>
      <c r="F20" s="17" t="s">
        <v>59</v>
      </c>
      <c r="K20" s="22"/>
      <c r="L20" s="22"/>
    </row>
    <row r="21" ht="22.5" customHeight="1">
      <c r="A21" s="14" t="s">
        <v>61</v>
      </c>
      <c r="B21" s="16">
        <v>6358.0</v>
      </c>
      <c r="C21" s="6">
        <v>183.273</v>
      </c>
      <c r="D21" s="13">
        <f t="shared" si="1"/>
        <v>34.69141663</v>
      </c>
      <c r="F21" s="17" t="s">
        <v>63</v>
      </c>
      <c r="K21" s="22"/>
      <c r="L21" s="22"/>
    </row>
    <row r="22" ht="22.5" customHeight="1">
      <c r="A22" s="3" t="s">
        <v>64</v>
      </c>
      <c r="B22" s="4">
        <v>14921.0</v>
      </c>
      <c r="C22" s="6">
        <v>399.178</v>
      </c>
      <c r="D22" s="13">
        <f t="shared" si="1"/>
        <v>37.37931449</v>
      </c>
      <c r="F22" s="17" t="s">
        <v>66</v>
      </c>
      <c r="K22" s="22"/>
      <c r="L22" s="22"/>
    </row>
    <row r="23" ht="22.5" customHeight="1">
      <c r="A23" s="14" t="s">
        <v>67</v>
      </c>
      <c r="B23" s="16">
        <v>11294.0</v>
      </c>
      <c r="C23" s="6">
        <v>654.129</v>
      </c>
      <c r="D23" s="13">
        <f t="shared" si="1"/>
        <v>17.26570753</v>
      </c>
      <c r="K23" s="22"/>
      <c r="L23" s="22"/>
    </row>
    <row r="24" ht="22.5" customHeight="1">
      <c r="A24" s="3" t="s">
        <v>70</v>
      </c>
      <c r="B24" s="4">
        <v>3118.0</v>
      </c>
      <c r="C24" s="6">
        <v>19.793</v>
      </c>
      <c r="D24" s="13">
        <f t="shared" si="1"/>
        <v>157.5304401</v>
      </c>
      <c r="K24" s="22"/>
      <c r="L24" s="22"/>
    </row>
    <row r="25" ht="22.5" customHeight="1">
      <c r="A25" s="14" t="s">
        <v>71</v>
      </c>
      <c r="B25" s="16">
        <v>5910.0</v>
      </c>
      <c r="C25" s="6">
        <v>242.679</v>
      </c>
      <c r="D25" s="13">
        <f t="shared" si="1"/>
        <v>24.35315788</v>
      </c>
      <c r="K25" s="22"/>
      <c r="L25" s="22"/>
    </row>
    <row r="26" ht="22.5" customHeight="1">
      <c r="A26" s="3" t="s">
        <v>73</v>
      </c>
      <c r="B26" s="4">
        <v>8499.0</v>
      </c>
      <c r="C26" s="6">
        <v>54.604</v>
      </c>
      <c r="D26" s="13">
        <f t="shared" si="1"/>
        <v>155.6479379</v>
      </c>
      <c r="K26" s="22"/>
      <c r="L26" s="22"/>
    </row>
    <row r="27" ht="22.5" customHeight="1">
      <c r="A27" s="14" t="s">
        <v>75</v>
      </c>
      <c r="B27" s="16">
        <v>16991.0</v>
      </c>
      <c r="C27" s="6">
        <v>316.316</v>
      </c>
      <c r="D27" s="13">
        <f t="shared" si="1"/>
        <v>53.71527207</v>
      </c>
      <c r="K27" s="22"/>
      <c r="L27" s="22"/>
    </row>
    <row r="28" ht="22.5" customHeight="1">
      <c r="A28" s="3" t="s">
        <v>77</v>
      </c>
      <c r="B28" s="4">
        <v>109250.0</v>
      </c>
      <c r="C28" s="6">
        <v>337.295</v>
      </c>
      <c r="D28" s="13">
        <f t="shared" si="1"/>
        <v>323.9004432</v>
      </c>
      <c r="K28" s="22"/>
      <c r="L28" s="22"/>
    </row>
    <row r="29" ht="22.5" customHeight="1">
      <c r="A29" s="14" t="s">
        <v>79</v>
      </c>
      <c r="B29" s="16">
        <v>42230.0</v>
      </c>
      <c r="C29" s="6">
        <v>501.794</v>
      </c>
      <c r="D29" s="13">
        <f t="shared" si="1"/>
        <v>84.15804095</v>
      </c>
      <c r="K29" s="22"/>
      <c r="L29" s="22"/>
    </row>
    <row r="30" ht="22.5" customHeight="1">
      <c r="A30" s="3" t="s">
        <v>81</v>
      </c>
      <c r="B30" s="4">
        <v>4746.0</v>
      </c>
      <c r="C30" s="6">
        <v>183.422</v>
      </c>
      <c r="D30" s="13">
        <f t="shared" si="1"/>
        <v>25.87475875</v>
      </c>
      <c r="K30" s="22"/>
      <c r="L30" s="22"/>
    </row>
    <row r="31" ht="22.5" customHeight="1">
      <c r="A31" s="14" t="s">
        <v>84</v>
      </c>
      <c r="B31" s="16">
        <v>36074.0</v>
      </c>
      <c r="C31" s="6">
        <v>739.702</v>
      </c>
      <c r="D31" s="13">
        <f t="shared" si="1"/>
        <v>48.76828777</v>
      </c>
      <c r="K31" s="22"/>
      <c r="L31" s="22"/>
    </row>
    <row r="32" ht="22.5" customHeight="1">
      <c r="A32" s="3" t="s">
        <v>85</v>
      </c>
      <c r="B32" s="4">
        <v>16451.0</v>
      </c>
      <c r="C32" s="6">
        <v>365.677</v>
      </c>
      <c r="D32" s="13">
        <f t="shared" si="1"/>
        <v>44.98778977</v>
      </c>
      <c r="K32" s="22"/>
      <c r="L32" s="22"/>
    </row>
    <row r="33" ht="22.5" customHeight="1">
      <c r="A33" s="14" t="s">
        <v>88</v>
      </c>
      <c r="B33" s="16">
        <v>13723.0</v>
      </c>
      <c r="C33" s="6">
        <v>402.353</v>
      </c>
      <c r="D33" s="13">
        <f t="shared" si="1"/>
        <v>34.10686636</v>
      </c>
      <c r="K33" s="22"/>
      <c r="L33" s="22"/>
    </row>
    <row r="34" ht="22.5" customHeight="1">
      <c r="A34" s="3" t="s">
        <v>90</v>
      </c>
      <c r="B34" s="4">
        <v>105957.0</v>
      </c>
      <c r="C34" s="6">
        <v>968.921</v>
      </c>
      <c r="D34" s="13">
        <f t="shared" si="1"/>
        <v>109.3556647</v>
      </c>
      <c r="K34" s="22"/>
      <c r="L34" s="22"/>
    </row>
    <row r="35" ht="22.5" customHeight="1">
      <c r="A35" s="14" t="s">
        <v>93</v>
      </c>
      <c r="B35" s="16">
        <v>24047.0</v>
      </c>
      <c r="C35" s="6">
        <v>162.273</v>
      </c>
      <c r="D35" s="13">
        <f t="shared" si="1"/>
        <v>148.1885465</v>
      </c>
      <c r="K35" s="22"/>
      <c r="L35" s="22"/>
    </row>
    <row r="36" ht="22.5" customHeight="1">
      <c r="A36" s="3" t="s">
        <v>95</v>
      </c>
      <c r="B36" s="4">
        <v>7048.0</v>
      </c>
      <c r="C36" s="6">
        <v>137.529</v>
      </c>
      <c r="D36" s="13">
        <f t="shared" si="1"/>
        <v>51.24737328</v>
      </c>
      <c r="K36" s="22"/>
      <c r="L36" s="22"/>
    </row>
    <row r="37" ht="22.5" customHeight="1">
      <c r="A37" s="14" t="s">
        <v>97</v>
      </c>
      <c r="B37" s="16">
        <v>3674.0</v>
      </c>
      <c r="C37" s="6">
        <v>63.199</v>
      </c>
      <c r="D37" s="13">
        <f t="shared" si="1"/>
        <v>58.13383123</v>
      </c>
      <c r="K37" s="22"/>
      <c r="L37" s="22"/>
    </row>
    <row r="38" ht="22.5" customHeight="1">
      <c r="A38" s="3" t="s">
        <v>100</v>
      </c>
      <c r="B38" s="4">
        <v>11712.0</v>
      </c>
      <c r="C38" s="6">
        <v>101.888</v>
      </c>
      <c r="D38" s="13">
        <f t="shared" si="1"/>
        <v>114.9497487</v>
      </c>
      <c r="K38" s="22"/>
      <c r="L38" s="22"/>
    </row>
    <row r="39" ht="22.5" customHeight="1">
      <c r="A39" s="14" t="s">
        <v>102</v>
      </c>
      <c r="B39" s="16">
        <v>15956.0</v>
      </c>
      <c r="C39" s="6">
        <v>95.554</v>
      </c>
      <c r="D39" s="13">
        <f t="shared" si="1"/>
        <v>166.9841137</v>
      </c>
      <c r="K39" s="22"/>
      <c r="L39" s="22"/>
    </row>
    <row r="40" ht="22.5" customHeight="1">
      <c r="A40" s="3" t="s">
        <v>104</v>
      </c>
      <c r="B40" s="4">
        <v>11297.0</v>
      </c>
      <c r="C40" s="6">
        <v>95.416</v>
      </c>
      <c r="D40" s="13">
        <f t="shared" si="1"/>
        <v>118.3973338</v>
      </c>
      <c r="K40" s="22"/>
      <c r="L40" s="22"/>
    </row>
    <row r="41" ht="22.5" customHeight="1">
      <c r="A41" s="14" t="s">
        <v>106</v>
      </c>
      <c r="B41" s="16">
        <v>14781.0</v>
      </c>
      <c r="C41" s="6">
        <v>386.906</v>
      </c>
      <c r="D41" s="13">
        <f t="shared" si="1"/>
        <v>38.20307775</v>
      </c>
      <c r="K41" s="22"/>
      <c r="L41" s="22"/>
    </row>
    <row r="42" ht="22.5" customHeight="1">
      <c r="A42" s="3" t="s">
        <v>108</v>
      </c>
      <c r="B42" s="4">
        <v>8059.0</v>
      </c>
      <c r="C42" s="6">
        <v>74.31</v>
      </c>
      <c r="D42" s="13">
        <f t="shared" si="1"/>
        <v>108.4510833</v>
      </c>
      <c r="K42" s="22"/>
      <c r="L42" s="22"/>
    </row>
    <row r="43" ht="22.5" customHeight="1">
      <c r="A43" s="14" t="s">
        <v>110</v>
      </c>
      <c r="B43" s="16">
        <v>16473.0</v>
      </c>
      <c r="C43" s="6">
        <v>266.246</v>
      </c>
      <c r="D43" s="13">
        <f t="shared" si="1"/>
        <v>61.87135206</v>
      </c>
      <c r="K43" s="22"/>
      <c r="L43" s="22"/>
    </row>
    <row r="44" ht="22.5" customHeight="1">
      <c r="A44" s="3" t="s">
        <v>113</v>
      </c>
      <c r="B44" s="4">
        <v>9534.0</v>
      </c>
      <c r="C44" s="6">
        <v>340.842</v>
      </c>
      <c r="D44" s="13">
        <f t="shared" si="1"/>
        <v>27.97190487</v>
      </c>
      <c r="K44" s="22"/>
      <c r="L44" s="22"/>
    </row>
    <row r="45" ht="22.5" customHeight="1">
      <c r="A45" s="14" t="s">
        <v>115</v>
      </c>
      <c r="B45" s="16">
        <v>43686.0</v>
      </c>
      <c r="C45" s="6">
        <v>758.435</v>
      </c>
      <c r="D45" s="13">
        <f t="shared" si="1"/>
        <v>57.60018986</v>
      </c>
      <c r="K45" s="22"/>
      <c r="L45" s="22"/>
    </row>
    <row r="46" ht="22.5" customHeight="1">
      <c r="A46" s="3" t="s">
        <v>117</v>
      </c>
      <c r="B46" s="4">
        <v>25569.0</v>
      </c>
      <c r="C46" s="6">
        <v>482.399</v>
      </c>
      <c r="D46" s="13">
        <f t="shared" si="1"/>
        <v>53.00384122</v>
      </c>
      <c r="K46" s="22"/>
      <c r="L46" s="22"/>
    </row>
    <row r="47" ht="22.5" customHeight="1">
      <c r="A47" s="14" t="s">
        <v>119</v>
      </c>
      <c r="B47" s="16">
        <v>6409.0</v>
      </c>
      <c r="C47" s="6">
        <v>81.757</v>
      </c>
      <c r="D47" s="13">
        <f t="shared" si="1"/>
        <v>78.39084115</v>
      </c>
      <c r="K47" s="22"/>
      <c r="L47" s="22"/>
    </row>
    <row r="48" ht="22.5" customHeight="1">
      <c r="A48" s="3" t="s">
        <v>122</v>
      </c>
      <c r="B48" s="4">
        <v>204081.0</v>
      </c>
      <c r="C48" s="6">
        <v>155.018</v>
      </c>
      <c r="D48" s="13">
        <f t="shared" si="1"/>
        <v>1316.498729</v>
      </c>
      <c r="K48" s="22"/>
      <c r="L48" s="22"/>
    </row>
    <row r="49" ht="22.5" customHeight="1">
      <c r="A49" s="14" t="s">
        <v>124</v>
      </c>
      <c r="B49" s="16">
        <v>12609.0</v>
      </c>
      <c r="C49" s="6">
        <v>381.428</v>
      </c>
      <c r="D49" s="13">
        <f t="shared" si="1"/>
        <v>33.05735289</v>
      </c>
      <c r="K49" s="22"/>
      <c r="L49" s="22"/>
    </row>
    <row r="50" ht="22.5" customHeight="1">
      <c r="A50" s="3" t="s">
        <v>126</v>
      </c>
      <c r="B50" s="4">
        <v>2811.0</v>
      </c>
      <c r="C50" s="6">
        <v>82.202</v>
      </c>
      <c r="D50" s="13">
        <f t="shared" si="1"/>
        <v>34.19624827</v>
      </c>
      <c r="K50" s="22"/>
      <c r="L50" s="22"/>
    </row>
    <row r="51" ht="22.5" customHeight="1">
      <c r="A51" s="14" t="s">
        <v>129</v>
      </c>
      <c r="B51" s="16">
        <v>7355.0</v>
      </c>
      <c r="C51" s="6">
        <v>33.144</v>
      </c>
      <c r="D51" s="13">
        <f t="shared" si="1"/>
        <v>221.9104514</v>
      </c>
      <c r="K51" s="22"/>
      <c r="L51" s="22"/>
    </row>
    <row r="52" ht="22.5" customHeight="1">
      <c r="A52" s="3" t="s">
        <v>130</v>
      </c>
      <c r="B52" s="4">
        <v>5759.0</v>
      </c>
      <c r="C52" s="6">
        <v>156.382</v>
      </c>
      <c r="D52" s="13">
        <f t="shared" si="1"/>
        <v>36.82648898</v>
      </c>
      <c r="K52" s="22"/>
      <c r="L52" s="22"/>
    </row>
    <row r="53" ht="22.5" customHeight="1">
      <c r="A53" s="14" t="s">
        <v>132</v>
      </c>
      <c r="B53" s="16">
        <v>8021.0</v>
      </c>
      <c r="C53" s="6">
        <v>208.681</v>
      </c>
      <c r="D53" s="13">
        <f t="shared" si="1"/>
        <v>38.43665691</v>
      </c>
      <c r="K53" s="22"/>
      <c r="L53" s="22"/>
    </row>
    <row r="54" ht="22.5" customHeight="1">
      <c r="A54" s="3" t="s">
        <v>133</v>
      </c>
      <c r="B54" s="4">
        <v>29238.0</v>
      </c>
      <c r="C54" s="6">
        <v>1218.582</v>
      </c>
      <c r="D54" s="13">
        <f t="shared" si="1"/>
        <v>23.99346125</v>
      </c>
      <c r="K54" s="22"/>
      <c r="L54" s="22"/>
    </row>
    <row r="55" ht="22.5" customHeight="1">
      <c r="A55" s="14" t="s">
        <v>135</v>
      </c>
      <c r="B55" s="16">
        <v>22217.0</v>
      </c>
      <c r="C55" s="6">
        <v>441.326</v>
      </c>
      <c r="D55" s="13">
        <f t="shared" si="1"/>
        <v>50.34147093</v>
      </c>
      <c r="K55" s="22"/>
      <c r="L55" s="22"/>
    </row>
    <row r="56" ht="22.5" customHeight="1">
      <c r="A56" s="3" t="s">
        <v>138</v>
      </c>
      <c r="B56" s="4">
        <v>27348.0</v>
      </c>
      <c r="C56" s="6">
        <v>876.674</v>
      </c>
      <c r="D56" s="13">
        <f t="shared" si="1"/>
        <v>31.19517631</v>
      </c>
      <c r="K56" s="22"/>
      <c r="L56" s="22"/>
    </row>
    <row r="57" ht="22.5" customHeight="1">
      <c r="A57" s="14" t="s">
        <v>140</v>
      </c>
      <c r="B57" s="16">
        <v>27213.0</v>
      </c>
      <c r="C57" s="6">
        <v>93.68</v>
      </c>
      <c r="D57" s="13">
        <f t="shared" si="1"/>
        <v>290.4888984</v>
      </c>
      <c r="K57" s="22"/>
      <c r="L57" s="22"/>
    </row>
    <row r="58" ht="22.5" customHeight="1">
      <c r="A58" s="3" t="s">
        <v>142</v>
      </c>
      <c r="B58" s="4">
        <v>18541.0</v>
      </c>
      <c r="C58" s="6">
        <v>530.607</v>
      </c>
      <c r="D58" s="13">
        <f t="shared" si="1"/>
        <v>34.94299924</v>
      </c>
      <c r="K58" s="22"/>
      <c r="L58" s="22"/>
    </row>
    <row r="59" ht="22.5" customHeight="1">
      <c r="A59" s="14" t="s">
        <v>145</v>
      </c>
      <c r="B59" s="16">
        <v>8853.0</v>
      </c>
      <c r="C59" s="6">
        <v>78.308</v>
      </c>
      <c r="D59" s="13">
        <f t="shared" si="1"/>
        <v>113.0535833</v>
      </c>
      <c r="K59" s="22"/>
      <c r="L59" s="22"/>
    </row>
    <row r="60" ht="22.5" customHeight="1">
      <c r="A60" s="3" t="s">
        <v>146</v>
      </c>
      <c r="B60" s="4">
        <v>17365.0</v>
      </c>
      <c r="C60" s="6">
        <v>259.023</v>
      </c>
      <c r="D60" s="13">
        <f t="shared" si="1"/>
        <v>67.04037865</v>
      </c>
      <c r="K60" s="22"/>
      <c r="L60" s="22"/>
    </row>
    <row r="61" ht="22.5" customHeight="1">
      <c r="A61" s="14" t="s">
        <v>149</v>
      </c>
      <c r="B61" s="16">
        <v>9507.0</v>
      </c>
      <c r="C61" s="6">
        <v>102.834</v>
      </c>
      <c r="D61" s="13">
        <f t="shared" si="1"/>
        <v>92.44996791</v>
      </c>
      <c r="K61" s="22"/>
      <c r="L61" s="22"/>
    </row>
    <row r="62" ht="22.5" customHeight="1">
      <c r="A62" s="3" t="s">
        <v>150</v>
      </c>
      <c r="B62" s="4">
        <v>20825.0</v>
      </c>
      <c r="C62" s="6">
        <v>247.579</v>
      </c>
      <c r="D62" s="13">
        <f t="shared" si="1"/>
        <v>84.11456545</v>
      </c>
      <c r="K62" s="22"/>
      <c r="L62" s="22"/>
    </row>
    <row r="63" ht="22.5" customHeight="1">
      <c r="A63" s="14" t="s">
        <v>152</v>
      </c>
      <c r="B63" s="16">
        <v>14003.0</v>
      </c>
      <c r="C63" s="6">
        <v>325.258</v>
      </c>
      <c r="D63" s="13">
        <f t="shared" si="1"/>
        <v>43.0519772</v>
      </c>
      <c r="K63" s="22"/>
      <c r="L63" s="22"/>
    </row>
    <row r="64" ht="22.5" customHeight="1">
      <c r="A64" s="3" t="s">
        <v>154</v>
      </c>
      <c r="B64" s="4">
        <v>4049.0</v>
      </c>
      <c r="C64" s="6">
        <v>67.672</v>
      </c>
      <c r="D64" s="13">
        <f t="shared" si="1"/>
        <v>59.83272254</v>
      </c>
      <c r="K64" s="22"/>
      <c r="L64" s="22"/>
    </row>
    <row r="65" ht="22.5" customHeight="1">
      <c r="A65" s="14" t="s">
        <v>155</v>
      </c>
      <c r="B65" s="16">
        <v>7549.0</v>
      </c>
      <c r="C65" s="6">
        <v>45.105</v>
      </c>
      <c r="D65" s="13">
        <f t="shared" si="1"/>
        <v>167.3650371</v>
      </c>
      <c r="K65" s="22"/>
      <c r="L65" s="22"/>
    </row>
    <row r="66" ht="22.5" customHeight="1">
      <c r="A66" s="3" t="s">
        <v>158</v>
      </c>
      <c r="B66" s="4">
        <v>11289.0</v>
      </c>
      <c r="C66" s="6">
        <v>236.965</v>
      </c>
      <c r="D66" s="13">
        <f t="shared" si="1"/>
        <v>47.63994683</v>
      </c>
      <c r="K66" s="22"/>
      <c r="L66" s="22"/>
    </row>
    <row r="67" ht="22.5" customHeight="1">
      <c r="A67" s="14" t="s">
        <v>160</v>
      </c>
      <c r="B67" s="16">
        <v>101213.0</v>
      </c>
      <c r="C67" s="6">
        <v>438.037</v>
      </c>
      <c r="D67" s="13">
        <f t="shared" si="1"/>
        <v>231.0603899</v>
      </c>
      <c r="K67" s="22"/>
      <c r="L67" s="22"/>
    </row>
    <row r="68" ht="22.5" customHeight="1">
      <c r="A68" s="3" t="s">
        <v>162</v>
      </c>
      <c r="B68" s="4">
        <v>10559.0</v>
      </c>
      <c r="C68" s="6">
        <v>101.999</v>
      </c>
      <c r="D68" s="13">
        <f t="shared" si="1"/>
        <v>103.5206228</v>
      </c>
      <c r="K68" s="22"/>
      <c r="L68" s="22"/>
    </row>
    <row r="69" ht="22.5" customHeight="1">
      <c r="A69" s="14" t="s">
        <v>165</v>
      </c>
      <c r="B69" s="16">
        <v>3246.0</v>
      </c>
      <c r="C69" s="6">
        <v>83.985</v>
      </c>
      <c r="D69" s="13">
        <f t="shared" si="1"/>
        <v>38.64975889</v>
      </c>
      <c r="K69" s="22"/>
      <c r="L69" s="22"/>
    </row>
    <row r="70" ht="22.5" customHeight="1">
      <c r="A70" s="3" t="s">
        <v>167</v>
      </c>
      <c r="B70" s="4">
        <v>3471.0</v>
      </c>
      <c r="C70" s="6">
        <v>144.832</v>
      </c>
      <c r="D70" s="13">
        <f t="shared" si="1"/>
        <v>23.96569819</v>
      </c>
      <c r="K70" s="22"/>
      <c r="L70" s="22"/>
    </row>
    <row r="71" ht="22.5" customHeight="1">
      <c r="A71" s="14" t="s">
        <v>169</v>
      </c>
      <c r="B71" s="16">
        <v>44503.0</v>
      </c>
      <c r="C71" s="6">
        <v>560.199</v>
      </c>
      <c r="D71" s="13">
        <f t="shared" si="1"/>
        <v>79.44141278</v>
      </c>
      <c r="K71" s="22"/>
      <c r="L71" s="22"/>
    </row>
    <row r="72" ht="22.5" customHeight="1">
      <c r="A72" s="3" t="s">
        <v>172</v>
      </c>
      <c r="B72" s="4">
        <v>7981.0</v>
      </c>
      <c r="C72" s="6">
        <v>168.372</v>
      </c>
      <c r="D72" s="13">
        <f t="shared" si="1"/>
        <v>47.40099304</v>
      </c>
      <c r="K72" s="22"/>
      <c r="L72" s="22"/>
    </row>
    <row r="73" ht="22.5" customHeight="1">
      <c r="A73" s="14" t="s">
        <v>173</v>
      </c>
      <c r="B73" s="16">
        <v>3389.0</v>
      </c>
      <c r="C73" s="6">
        <v>48.958</v>
      </c>
      <c r="D73" s="13">
        <f t="shared" si="1"/>
        <v>69.22259896</v>
      </c>
      <c r="K73" s="22"/>
      <c r="L73" s="22"/>
    </row>
    <row r="74" ht="22.5" customHeight="1">
      <c r="A74" s="3" t="s">
        <v>176</v>
      </c>
      <c r="B74" s="4">
        <v>52783.0</v>
      </c>
      <c r="C74" s="6">
        <v>1024.645</v>
      </c>
      <c r="D74" s="13">
        <f t="shared" si="1"/>
        <v>51.513451</v>
      </c>
      <c r="K74" s="22"/>
      <c r="L74" s="22"/>
    </row>
    <row r="75" ht="22.5" customHeight="1">
      <c r="A75" s="14" t="s">
        <v>178</v>
      </c>
      <c r="B75" s="16">
        <v>12094.0</v>
      </c>
      <c r="C75" s="6">
        <v>304.837</v>
      </c>
      <c r="D75" s="27">
        <f t="shared" si="1"/>
        <v>39.67366166</v>
      </c>
      <c r="K75" s="22"/>
      <c r="L75" s="22"/>
    </row>
    <row r="76" ht="22.5" customHeight="1">
      <c r="A76" s="25" t="s">
        <v>181</v>
      </c>
      <c r="B76" s="26">
        <v>24618.0</v>
      </c>
      <c r="C76" s="6">
        <v>117.514</v>
      </c>
      <c r="D76" s="27">
        <f t="shared" si="1"/>
        <v>209.4899331</v>
      </c>
      <c r="K76" s="22"/>
      <c r="L76" s="22"/>
    </row>
    <row r="77">
      <c r="K77" s="22"/>
      <c r="L77" s="22"/>
    </row>
    <row r="78">
      <c r="K78" s="22"/>
      <c r="L78" s="22"/>
    </row>
  </sheetData>
  <dataValidations>
    <dataValidation type="custom" allowBlank="1" showDropDown="1" sqref="B2:B76 D2:D7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88"/>
  </cols>
  <sheetData>
    <row r="1" ht="22.5" customHeight="1">
      <c r="A1" s="1" t="s">
        <v>0</v>
      </c>
      <c r="B1" s="1" t="s">
        <v>2</v>
      </c>
      <c r="C1" s="1" t="s">
        <v>3</v>
      </c>
      <c r="D1" s="1" t="s">
        <v>6</v>
      </c>
    </row>
    <row r="2" ht="22.5" customHeight="1">
      <c r="A2" s="3" t="s">
        <v>10</v>
      </c>
      <c r="B2" s="4">
        <v>2202.0</v>
      </c>
      <c r="C2" s="6">
        <v>0.0</v>
      </c>
      <c r="D2" s="11">
        <f t="shared" ref="D2:D76" si="1">C2/(B2/100000)</f>
        <v>0</v>
      </c>
    </row>
    <row r="3" ht="22.5" customHeight="1">
      <c r="A3" s="14" t="s">
        <v>16</v>
      </c>
      <c r="B3" s="16">
        <v>20556.0</v>
      </c>
      <c r="C3" s="6">
        <v>3.0</v>
      </c>
      <c r="D3" s="11">
        <f t="shared" si="1"/>
        <v>14.59427904</v>
      </c>
      <c r="G3" s="17"/>
      <c r="I3" s="19"/>
      <c r="J3" s="19"/>
      <c r="K3" s="20"/>
      <c r="L3" s="20"/>
    </row>
    <row r="4" ht="22.5" customHeight="1">
      <c r="A4" s="3" t="s">
        <v>18</v>
      </c>
      <c r="B4" s="4">
        <v>630932.0</v>
      </c>
      <c r="C4" s="6">
        <v>71.0</v>
      </c>
      <c r="D4" s="11">
        <f t="shared" si="1"/>
        <v>11.25319369</v>
      </c>
      <c r="K4" s="22"/>
      <c r="L4" s="22"/>
    </row>
    <row r="5" ht="22.5" customHeight="1">
      <c r="A5" s="14" t="s">
        <v>20</v>
      </c>
      <c r="B5" s="16">
        <v>10464.0</v>
      </c>
      <c r="C5" s="6">
        <v>3.0</v>
      </c>
      <c r="D5" s="11">
        <f t="shared" si="1"/>
        <v>28.66972477</v>
      </c>
      <c r="K5" s="22"/>
      <c r="L5" s="22"/>
    </row>
    <row r="6" ht="22.5" customHeight="1">
      <c r="A6" s="3" t="s">
        <v>22</v>
      </c>
      <c r="B6" s="4">
        <v>18626.0</v>
      </c>
      <c r="C6" s="6">
        <v>0.0</v>
      </c>
      <c r="D6" s="11">
        <f t="shared" si="1"/>
        <v>0</v>
      </c>
      <c r="K6" s="22"/>
      <c r="L6" s="22"/>
    </row>
    <row r="7" ht="22.5" customHeight="1">
      <c r="A7" s="14" t="s">
        <v>25</v>
      </c>
      <c r="B7" s="16">
        <v>45175.0</v>
      </c>
      <c r="C7" s="6">
        <v>2.0</v>
      </c>
      <c r="D7" s="11">
        <f t="shared" si="1"/>
        <v>4.427227449</v>
      </c>
      <c r="K7" s="22"/>
      <c r="L7" s="22"/>
    </row>
    <row r="8" ht="22.5" customHeight="1">
      <c r="A8" s="3" t="s">
        <v>27</v>
      </c>
      <c r="B8" s="4">
        <v>25007.0</v>
      </c>
      <c r="C8" s="6">
        <v>3.0</v>
      </c>
      <c r="D8" s="11">
        <f t="shared" si="1"/>
        <v>11.99664094</v>
      </c>
      <c r="K8" s="22"/>
      <c r="L8" s="22"/>
    </row>
    <row r="9" ht="22.5" customHeight="1">
      <c r="A9" s="14" t="s">
        <v>29</v>
      </c>
      <c r="B9" s="16">
        <v>8025.0</v>
      </c>
      <c r="C9" s="6">
        <v>0.0</v>
      </c>
      <c r="D9" s="11">
        <f t="shared" si="1"/>
        <v>0</v>
      </c>
      <c r="K9" s="22"/>
      <c r="L9" s="22"/>
    </row>
    <row r="10" ht="22.5" customHeight="1">
      <c r="A10" s="3" t="s">
        <v>32</v>
      </c>
      <c r="B10" s="4">
        <v>18719.0</v>
      </c>
      <c r="C10" s="6">
        <v>0.0</v>
      </c>
      <c r="D10" s="11">
        <f t="shared" si="1"/>
        <v>0</v>
      </c>
      <c r="K10" s="22"/>
      <c r="L10" s="22"/>
    </row>
    <row r="11" ht="22.5" customHeight="1">
      <c r="A11" s="14" t="s">
        <v>34</v>
      </c>
      <c r="B11" s="16">
        <v>3850.0</v>
      </c>
      <c r="C11" s="6">
        <v>0.0</v>
      </c>
      <c r="D11" s="11">
        <f t="shared" si="1"/>
        <v>0</v>
      </c>
      <c r="K11" s="22"/>
      <c r="L11" s="22"/>
    </row>
    <row r="12" ht="22.5" customHeight="1">
      <c r="A12" s="3" t="s">
        <v>36</v>
      </c>
      <c r="B12" s="4">
        <v>33641.0</v>
      </c>
      <c r="C12" s="6">
        <v>1.0</v>
      </c>
      <c r="D12" s="11">
        <f t="shared" si="1"/>
        <v>2.972563241</v>
      </c>
      <c r="K12" s="22"/>
      <c r="L12" s="22"/>
    </row>
    <row r="13" ht="22.5" customHeight="1">
      <c r="A13" s="14" t="s">
        <v>39</v>
      </c>
      <c r="B13" s="16">
        <v>32783.0</v>
      </c>
      <c r="C13" s="6">
        <v>0.0</v>
      </c>
      <c r="D13" s="11">
        <f t="shared" si="1"/>
        <v>0</v>
      </c>
      <c r="K13" s="22"/>
      <c r="L13" s="22"/>
    </row>
    <row r="14" ht="22.5" customHeight="1">
      <c r="A14" s="3" t="s">
        <v>41</v>
      </c>
      <c r="B14" s="4">
        <v>20314.0</v>
      </c>
      <c r="C14" s="6">
        <v>0.0</v>
      </c>
      <c r="D14" s="11">
        <f t="shared" si="1"/>
        <v>0</v>
      </c>
      <c r="K14" s="22"/>
      <c r="L14" s="22"/>
    </row>
    <row r="15" ht="22.5" customHeight="1">
      <c r="A15" s="14" t="s">
        <v>43</v>
      </c>
      <c r="B15" s="16">
        <v>14203.0</v>
      </c>
      <c r="C15" s="6">
        <v>1.0</v>
      </c>
      <c r="D15" s="11">
        <f t="shared" si="1"/>
        <v>7.040766035</v>
      </c>
      <c r="K15" s="22"/>
      <c r="L15" s="22"/>
    </row>
    <row r="16" ht="22.5" customHeight="1">
      <c r="A16" s="3" t="s">
        <v>45</v>
      </c>
      <c r="B16" s="4">
        <v>5474.0</v>
      </c>
      <c r="C16" s="6">
        <v>1.0</v>
      </c>
      <c r="D16" s="11">
        <f t="shared" si="1"/>
        <v>18.26817684</v>
      </c>
      <c r="K16" s="22"/>
      <c r="L16" s="22"/>
    </row>
    <row r="17" ht="22.5" customHeight="1">
      <c r="A17" s="14" t="s">
        <v>46</v>
      </c>
      <c r="B17" s="16">
        <v>17594.0</v>
      </c>
      <c r="C17" s="6">
        <v>0.0</v>
      </c>
      <c r="D17" s="11">
        <f t="shared" si="1"/>
        <v>0</v>
      </c>
      <c r="K17" s="22"/>
      <c r="L17" s="22"/>
    </row>
    <row r="18" ht="22.5" customHeight="1">
      <c r="A18" s="3" t="s">
        <v>48</v>
      </c>
      <c r="B18" s="4">
        <v>3872.0</v>
      </c>
      <c r="C18" s="6">
        <v>0.0</v>
      </c>
      <c r="D18" s="11">
        <f t="shared" si="1"/>
        <v>0</v>
      </c>
      <c r="F18" s="17" t="s">
        <v>50</v>
      </c>
      <c r="K18" s="22"/>
      <c r="L18" s="22"/>
    </row>
    <row r="19" ht="22.5" customHeight="1">
      <c r="A19" s="14" t="s">
        <v>52</v>
      </c>
      <c r="B19" s="16">
        <v>4436.0</v>
      </c>
      <c r="C19" s="6">
        <v>0.0</v>
      </c>
      <c r="D19" s="11">
        <f t="shared" si="1"/>
        <v>0</v>
      </c>
      <c r="F19" s="23" t="s">
        <v>55</v>
      </c>
      <c r="K19" s="22"/>
      <c r="L19" s="22"/>
    </row>
    <row r="20" ht="22.5" customHeight="1">
      <c r="A20" s="3" t="s">
        <v>57</v>
      </c>
      <c r="B20" s="4">
        <v>67060.0</v>
      </c>
      <c r="C20" s="6">
        <v>6.0</v>
      </c>
      <c r="D20" s="11">
        <f t="shared" si="1"/>
        <v>8.947211452</v>
      </c>
      <c r="F20" s="17"/>
      <c r="K20" s="22"/>
      <c r="L20" s="22"/>
    </row>
    <row r="21" ht="22.5" customHeight="1">
      <c r="A21" s="14" t="s">
        <v>61</v>
      </c>
      <c r="B21" s="16">
        <v>6358.0</v>
      </c>
      <c r="C21" s="6">
        <v>0.0</v>
      </c>
      <c r="D21" s="11">
        <f t="shared" si="1"/>
        <v>0</v>
      </c>
      <c r="F21" s="17" t="s">
        <v>63</v>
      </c>
      <c r="K21" s="22"/>
      <c r="L21" s="22"/>
    </row>
    <row r="22" ht="22.5" customHeight="1">
      <c r="A22" s="3" t="s">
        <v>64</v>
      </c>
      <c r="B22" s="4">
        <v>14921.0</v>
      </c>
      <c r="C22" s="6">
        <v>0.0</v>
      </c>
      <c r="D22" s="11">
        <f t="shared" si="1"/>
        <v>0</v>
      </c>
      <c r="F22" s="17" t="s">
        <v>66</v>
      </c>
      <c r="K22" s="22"/>
      <c r="L22" s="22"/>
    </row>
    <row r="23" ht="22.5" customHeight="1">
      <c r="A23" s="14" t="s">
        <v>67</v>
      </c>
      <c r="B23" s="16">
        <v>11294.0</v>
      </c>
      <c r="C23" s="6">
        <v>1.0</v>
      </c>
      <c r="D23" s="11">
        <f t="shared" si="1"/>
        <v>8.854258899</v>
      </c>
      <c r="K23" s="22"/>
      <c r="L23" s="22"/>
    </row>
    <row r="24" ht="22.5" customHeight="1">
      <c r="A24" s="3" t="s">
        <v>70</v>
      </c>
      <c r="B24" s="4">
        <v>3118.0</v>
      </c>
      <c r="C24" s="6">
        <v>0.0</v>
      </c>
      <c r="D24" s="11">
        <f t="shared" si="1"/>
        <v>0</v>
      </c>
      <c r="K24" s="22"/>
      <c r="L24" s="22"/>
    </row>
    <row r="25" ht="22.5" customHeight="1">
      <c r="A25" s="14" t="s">
        <v>71</v>
      </c>
      <c r="B25" s="16">
        <v>5910.0</v>
      </c>
      <c r="C25" s="6">
        <v>1.0</v>
      </c>
      <c r="D25" s="11">
        <f t="shared" si="1"/>
        <v>16.92047377</v>
      </c>
      <c r="K25" s="22"/>
      <c r="L25" s="22"/>
    </row>
    <row r="26" ht="22.5" customHeight="1">
      <c r="A26" s="3" t="s">
        <v>73</v>
      </c>
      <c r="B26" s="4">
        <v>8499.0</v>
      </c>
      <c r="C26" s="6">
        <v>0.0</v>
      </c>
      <c r="D26" s="11">
        <f t="shared" si="1"/>
        <v>0</v>
      </c>
      <c r="K26" s="22"/>
      <c r="L26" s="22"/>
    </row>
    <row r="27" ht="22.5" customHeight="1">
      <c r="A27" s="14" t="s">
        <v>75</v>
      </c>
      <c r="B27" s="16">
        <v>16991.0</v>
      </c>
      <c r="C27" s="6">
        <v>1.0</v>
      </c>
      <c r="D27" s="11">
        <f t="shared" si="1"/>
        <v>5.885468778</v>
      </c>
      <c r="K27" s="22"/>
      <c r="L27" s="22"/>
    </row>
    <row r="28" ht="22.5" customHeight="1">
      <c r="A28" s="3" t="s">
        <v>77</v>
      </c>
      <c r="B28" s="4">
        <v>109250.0</v>
      </c>
      <c r="C28" s="6">
        <v>3.0</v>
      </c>
      <c r="D28" s="11">
        <f t="shared" si="1"/>
        <v>2.745995423</v>
      </c>
      <c r="K28" s="22"/>
      <c r="L28" s="22"/>
    </row>
    <row r="29" ht="22.5" customHeight="1">
      <c r="A29" s="14" t="s">
        <v>79</v>
      </c>
      <c r="B29" s="16">
        <v>42230.0</v>
      </c>
      <c r="C29" s="6">
        <v>3.0</v>
      </c>
      <c r="D29" s="11">
        <f t="shared" si="1"/>
        <v>7.103954535</v>
      </c>
      <c r="K29" s="22"/>
      <c r="L29" s="22"/>
    </row>
    <row r="30" ht="22.5" customHeight="1">
      <c r="A30" s="3" t="s">
        <v>81</v>
      </c>
      <c r="B30" s="4">
        <v>4746.0</v>
      </c>
      <c r="C30" s="6">
        <v>0.0</v>
      </c>
      <c r="D30" s="11">
        <f t="shared" si="1"/>
        <v>0</v>
      </c>
      <c r="K30" s="22"/>
      <c r="L30" s="22"/>
    </row>
    <row r="31" ht="22.5" customHeight="1">
      <c r="A31" s="14" t="s">
        <v>84</v>
      </c>
      <c r="B31" s="16">
        <v>36074.0</v>
      </c>
      <c r="C31" s="6">
        <v>1.0</v>
      </c>
      <c r="D31" s="11">
        <f t="shared" si="1"/>
        <v>2.772079614</v>
      </c>
      <c r="K31" s="22"/>
      <c r="L31" s="22"/>
    </row>
    <row r="32" ht="22.5" customHeight="1">
      <c r="A32" s="3" t="s">
        <v>85</v>
      </c>
      <c r="B32" s="4">
        <v>16451.0</v>
      </c>
      <c r="C32" s="6">
        <v>0.0</v>
      </c>
      <c r="D32" s="11">
        <f t="shared" si="1"/>
        <v>0</v>
      </c>
      <c r="K32" s="22"/>
      <c r="L32" s="22"/>
    </row>
    <row r="33" ht="22.5" customHeight="1">
      <c r="A33" s="14" t="s">
        <v>88</v>
      </c>
      <c r="B33" s="16">
        <v>13723.0</v>
      </c>
      <c r="C33" s="6">
        <v>0.0</v>
      </c>
      <c r="D33" s="11">
        <f t="shared" si="1"/>
        <v>0</v>
      </c>
      <c r="K33" s="22"/>
      <c r="L33" s="22"/>
    </row>
    <row r="34" ht="22.5" customHeight="1">
      <c r="A34" s="3" t="s">
        <v>90</v>
      </c>
      <c r="B34" s="4">
        <v>105957.0</v>
      </c>
      <c r="C34" s="6">
        <v>3.0</v>
      </c>
      <c r="D34" s="11">
        <f t="shared" si="1"/>
        <v>2.831337241</v>
      </c>
      <c r="K34" s="22"/>
      <c r="L34" s="22"/>
    </row>
    <row r="35" ht="22.5" customHeight="1">
      <c r="A35" s="14" t="s">
        <v>93</v>
      </c>
      <c r="B35" s="16">
        <v>24047.0</v>
      </c>
      <c r="C35" s="6">
        <v>2.0</v>
      </c>
      <c r="D35" s="11">
        <f t="shared" si="1"/>
        <v>8.317045785</v>
      </c>
      <c r="K35" s="22"/>
      <c r="L35" s="22"/>
    </row>
    <row r="36" ht="22.5" customHeight="1">
      <c r="A36" s="3" t="s">
        <v>95</v>
      </c>
      <c r="B36" s="4">
        <v>7048.0</v>
      </c>
      <c r="C36" s="6">
        <v>0.0</v>
      </c>
      <c r="D36" s="11">
        <f t="shared" si="1"/>
        <v>0</v>
      </c>
      <c r="K36" s="22"/>
      <c r="L36" s="22"/>
    </row>
    <row r="37" ht="22.5" customHeight="1">
      <c r="A37" s="14" t="s">
        <v>97</v>
      </c>
      <c r="B37" s="16">
        <v>3674.0</v>
      </c>
      <c r="C37" s="6">
        <v>0.0</v>
      </c>
      <c r="D37" s="11">
        <f t="shared" si="1"/>
        <v>0</v>
      </c>
      <c r="K37" s="22"/>
      <c r="L37" s="22"/>
    </row>
    <row r="38" ht="22.5" customHeight="1">
      <c r="A38" s="3" t="s">
        <v>100</v>
      </c>
      <c r="B38" s="4">
        <v>11712.0</v>
      </c>
      <c r="C38" s="6">
        <v>0.0</v>
      </c>
      <c r="D38" s="11">
        <f t="shared" si="1"/>
        <v>0</v>
      </c>
      <c r="K38" s="22"/>
      <c r="L38" s="22"/>
    </row>
    <row r="39" ht="22.5" customHeight="1">
      <c r="A39" s="14" t="s">
        <v>102</v>
      </c>
      <c r="B39" s="16">
        <v>15956.0</v>
      </c>
      <c r="C39" s="6">
        <v>0.0</v>
      </c>
      <c r="D39" s="11">
        <f t="shared" si="1"/>
        <v>0</v>
      </c>
      <c r="K39" s="22"/>
      <c r="L39" s="22"/>
    </row>
    <row r="40" ht="22.5" customHeight="1">
      <c r="A40" s="3" t="s">
        <v>104</v>
      </c>
      <c r="B40" s="4">
        <v>11297.0</v>
      </c>
      <c r="C40" s="6">
        <v>5.0</v>
      </c>
      <c r="D40" s="11">
        <f t="shared" si="1"/>
        <v>44.25953793</v>
      </c>
      <c r="K40" s="22"/>
      <c r="L40" s="22"/>
    </row>
    <row r="41" ht="22.5" customHeight="1">
      <c r="A41" s="14" t="s">
        <v>106</v>
      </c>
      <c r="B41" s="16">
        <v>14781.0</v>
      </c>
      <c r="C41" s="6">
        <v>0.0</v>
      </c>
      <c r="D41" s="11">
        <f t="shared" si="1"/>
        <v>0</v>
      </c>
      <c r="K41" s="22"/>
      <c r="L41" s="22"/>
    </row>
    <row r="42" ht="22.5" customHeight="1">
      <c r="A42" s="3" t="s">
        <v>108</v>
      </c>
      <c r="B42" s="4">
        <v>8059.0</v>
      </c>
      <c r="C42" s="6">
        <v>0.0</v>
      </c>
      <c r="D42" s="11">
        <f t="shared" si="1"/>
        <v>0</v>
      </c>
      <c r="K42" s="22"/>
      <c r="L42" s="22"/>
    </row>
    <row r="43" ht="22.5" customHeight="1">
      <c r="A43" s="14" t="s">
        <v>110</v>
      </c>
      <c r="B43" s="16">
        <v>16473.0</v>
      </c>
      <c r="C43" s="6">
        <v>0.0</v>
      </c>
      <c r="D43" s="11">
        <f t="shared" si="1"/>
        <v>0</v>
      </c>
      <c r="K43" s="22"/>
      <c r="L43" s="22"/>
    </row>
    <row r="44" ht="22.5" customHeight="1">
      <c r="A44" s="3" t="s">
        <v>113</v>
      </c>
      <c r="B44" s="4">
        <v>9534.0</v>
      </c>
      <c r="C44" s="6">
        <v>0.0</v>
      </c>
      <c r="D44" s="11">
        <f t="shared" si="1"/>
        <v>0</v>
      </c>
      <c r="K44" s="22"/>
      <c r="L44" s="22"/>
    </row>
    <row r="45" ht="22.5" customHeight="1">
      <c r="A45" s="14" t="s">
        <v>115</v>
      </c>
      <c r="B45" s="16">
        <v>43686.0</v>
      </c>
      <c r="C45" s="6">
        <v>0.0</v>
      </c>
      <c r="D45" s="11">
        <f t="shared" si="1"/>
        <v>0</v>
      </c>
      <c r="K45" s="22"/>
      <c r="L45" s="22"/>
    </row>
    <row r="46" ht="22.5" customHeight="1">
      <c r="A46" s="3" t="s">
        <v>117</v>
      </c>
      <c r="B46" s="4">
        <v>25569.0</v>
      </c>
      <c r="C46" s="6">
        <v>1.0</v>
      </c>
      <c r="D46" s="11">
        <f t="shared" si="1"/>
        <v>3.91098596</v>
      </c>
      <c r="K46" s="22"/>
      <c r="L46" s="22"/>
    </row>
    <row r="47" ht="22.5" customHeight="1">
      <c r="A47" s="14" t="s">
        <v>119</v>
      </c>
      <c r="B47" s="16">
        <v>6409.0</v>
      </c>
      <c r="C47" s="6">
        <v>1.0</v>
      </c>
      <c r="D47" s="11">
        <f t="shared" si="1"/>
        <v>15.6030582</v>
      </c>
      <c r="K47" s="22"/>
      <c r="L47" s="22"/>
    </row>
    <row r="48" ht="22.5" customHeight="1">
      <c r="A48" s="3" t="s">
        <v>122</v>
      </c>
      <c r="B48" s="4">
        <v>204081.0</v>
      </c>
      <c r="C48" s="6">
        <v>50.0</v>
      </c>
      <c r="D48" s="11">
        <f t="shared" si="1"/>
        <v>24.50007595</v>
      </c>
      <c r="K48" s="22"/>
      <c r="L48" s="22"/>
    </row>
    <row r="49" ht="22.5" customHeight="1">
      <c r="A49" s="14" t="s">
        <v>124</v>
      </c>
      <c r="B49" s="16">
        <v>12609.0</v>
      </c>
      <c r="C49" s="6">
        <v>2.0</v>
      </c>
      <c r="D49" s="11">
        <f t="shared" si="1"/>
        <v>15.8616861</v>
      </c>
      <c r="K49" s="22"/>
      <c r="L49" s="22"/>
    </row>
    <row r="50" ht="22.5" customHeight="1">
      <c r="A50" s="3" t="s">
        <v>126</v>
      </c>
      <c r="B50" s="4">
        <v>2811.0</v>
      </c>
      <c r="C50" s="6">
        <v>0.0</v>
      </c>
      <c r="D50" s="11">
        <f t="shared" si="1"/>
        <v>0</v>
      </c>
      <c r="K50" s="22"/>
      <c r="L50" s="22"/>
    </row>
    <row r="51" ht="22.5" customHeight="1">
      <c r="A51" s="14" t="s">
        <v>129</v>
      </c>
      <c r="B51" s="16">
        <v>7355.0</v>
      </c>
      <c r="C51" s="6">
        <v>0.0</v>
      </c>
      <c r="D51" s="11">
        <f t="shared" si="1"/>
        <v>0</v>
      </c>
      <c r="K51" s="22"/>
      <c r="L51" s="22"/>
    </row>
    <row r="52" ht="22.5" customHeight="1">
      <c r="A52" s="3" t="s">
        <v>130</v>
      </c>
      <c r="B52" s="4">
        <v>5759.0</v>
      </c>
      <c r="C52" s="6">
        <v>0.0</v>
      </c>
      <c r="D52" s="11">
        <f t="shared" si="1"/>
        <v>0</v>
      </c>
      <c r="K52" s="22"/>
      <c r="L52" s="22"/>
    </row>
    <row r="53" ht="22.5" customHeight="1">
      <c r="A53" s="14" t="s">
        <v>132</v>
      </c>
      <c r="B53" s="16">
        <v>8021.0</v>
      </c>
      <c r="C53" s="6">
        <v>0.0</v>
      </c>
      <c r="D53" s="11">
        <f t="shared" si="1"/>
        <v>0</v>
      </c>
      <c r="K53" s="22"/>
      <c r="L53" s="22"/>
    </row>
    <row r="54" ht="22.5" customHeight="1">
      <c r="A54" s="3" t="s">
        <v>133</v>
      </c>
      <c r="B54" s="4">
        <v>29238.0</v>
      </c>
      <c r="C54" s="6">
        <v>0.0</v>
      </c>
      <c r="D54" s="11">
        <f t="shared" si="1"/>
        <v>0</v>
      </c>
      <c r="K54" s="22"/>
      <c r="L54" s="22"/>
    </row>
    <row r="55" ht="22.5" customHeight="1">
      <c r="A55" s="14" t="s">
        <v>135</v>
      </c>
      <c r="B55" s="16">
        <v>22217.0</v>
      </c>
      <c r="C55" s="6">
        <v>0.0</v>
      </c>
      <c r="D55" s="11">
        <f t="shared" si="1"/>
        <v>0</v>
      </c>
      <c r="K55" s="22"/>
      <c r="L55" s="22"/>
    </row>
    <row r="56" ht="22.5" customHeight="1">
      <c r="A56" s="3" t="s">
        <v>138</v>
      </c>
      <c r="B56" s="4">
        <v>27348.0</v>
      </c>
      <c r="C56" s="6">
        <v>3.0</v>
      </c>
      <c r="D56" s="11">
        <f t="shared" si="1"/>
        <v>10.96972356</v>
      </c>
      <c r="K56" s="22"/>
      <c r="L56" s="22"/>
    </row>
    <row r="57" ht="22.5" customHeight="1">
      <c r="A57" s="14" t="s">
        <v>140</v>
      </c>
      <c r="B57" s="16">
        <v>27213.0</v>
      </c>
      <c r="C57" s="6">
        <v>0.0</v>
      </c>
      <c r="D57" s="11">
        <f t="shared" si="1"/>
        <v>0</v>
      </c>
      <c r="K57" s="22"/>
      <c r="L57" s="22"/>
    </row>
    <row r="58" ht="22.5" customHeight="1">
      <c r="A58" s="3" t="s">
        <v>142</v>
      </c>
      <c r="B58" s="4">
        <v>18541.0</v>
      </c>
      <c r="C58" s="6">
        <v>1.0</v>
      </c>
      <c r="D58" s="11">
        <f t="shared" si="1"/>
        <v>5.393452349</v>
      </c>
      <c r="K58" s="22"/>
      <c r="L58" s="22"/>
    </row>
    <row r="59" ht="22.5" customHeight="1">
      <c r="A59" s="14" t="s">
        <v>145</v>
      </c>
      <c r="B59" s="16">
        <v>8853.0</v>
      </c>
      <c r="C59" s="6">
        <v>0.0</v>
      </c>
      <c r="D59" s="11">
        <f t="shared" si="1"/>
        <v>0</v>
      </c>
      <c r="K59" s="22"/>
      <c r="L59" s="22"/>
    </row>
    <row r="60" ht="22.5" customHeight="1">
      <c r="A60" s="3" t="s">
        <v>146</v>
      </c>
      <c r="B60" s="4">
        <v>17365.0</v>
      </c>
      <c r="C60" s="6">
        <v>0.0</v>
      </c>
      <c r="D60" s="11">
        <f t="shared" si="1"/>
        <v>0</v>
      </c>
      <c r="K60" s="22"/>
      <c r="L60" s="22"/>
    </row>
    <row r="61" ht="22.5" customHeight="1">
      <c r="A61" s="14" t="s">
        <v>149</v>
      </c>
      <c r="B61" s="16">
        <v>9507.0</v>
      </c>
      <c r="C61" s="6">
        <v>0.0</v>
      </c>
      <c r="D61" s="11">
        <f t="shared" si="1"/>
        <v>0</v>
      </c>
      <c r="K61" s="22"/>
      <c r="L61" s="22"/>
    </row>
    <row r="62" ht="22.5" customHeight="1">
      <c r="A62" s="3" t="s">
        <v>150</v>
      </c>
      <c r="B62" s="4">
        <v>20825.0</v>
      </c>
      <c r="C62" s="6">
        <v>0.0</v>
      </c>
      <c r="D62" s="11">
        <f t="shared" si="1"/>
        <v>0</v>
      </c>
      <c r="K62" s="22"/>
      <c r="L62" s="22"/>
    </row>
    <row r="63" ht="22.5" customHeight="1">
      <c r="A63" s="14" t="s">
        <v>152</v>
      </c>
      <c r="B63" s="16">
        <v>14003.0</v>
      </c>
      <c r="C63" s="6">
        <v>0.0</v>
      </c>
      <c r="D63" s="11">
        <f t="shared" si="1"/>
        <v>0</v>
      </c>
      <c r="K63" s="22"/>
      <c r="L63" s="22"/>
    </row>
    <row r="64" ht="22.5" customHeight="1">
      <c r="A64" s="3" t="s">
        <v>154</v>
      </c>
      <c r="B64" s="4">
        <v>4049.0</v>
      </c>
      <c r="C64" s="6">
        <v>0.0</v>
      </c>
      <c r="D64" s="11">
        <f t="shared" si="1"/>
        <v>0</v>
      </c>
      <c r="K64" s="22"/>
      <c r="L64" s="22"/>
    </row>
    <row r="65" ht="22.5" customHeight="1">
      <c r="A65" s="14" t="s">
        <v>155</v>
      </c>
      <c r="B65" s="16">
        <v>7549.0</v>
      </c>
      <c r="C65" s="6">
        <v>0.0</v>
      </c>
      <c r="D65" s="11">
        <f t="shared" si="1"/>
        <v>0</v>
      </c>
      <c r="K65" s="22"/>
      <c r="L65" s="22"/>
    </row>
    <row r="66" ht="22.5" customHeight="1">
      <c r="A66" s="3" t="s">
        <v>158</v>
      </c>
      <c r="B66" s="4">
        <v>11289.0</v>
      </c>
      <c r="C66" s="6">
        <v>0.0</v>
      </c>
      <c r="D66" s="11">
        <f t="shared" si="1"/>
        <v>0</v>
      </c>
      <c r="K66" s="22"/>
      <c r="L66" s="22"/>
    </row>
    <row r="67" ht="22.5" customHeight="1">
      <c r="A67" s="14" t="s">
        <v>160</v>
      </c>
      <c r="B67" s="16">
        <v>101213.0</v>
      </c>
      <c r="C67" s="6">
        <v>10.0</v>
      </c>
      <c r="D67" s="11">
        <f t="shared" si="1"/>
        <v>9.880153735</v>
      </c>
      <c r="K67" s="22"/>
      <c r="L67" s="22"/>
    </row>
    <row r="68" ht="22.5" customHeight="1">
      <c r="A68" s="3" t="s">
        <v>162</v>
      </c>
      <c r="B68" s="4">
        <v>10559.0</v>
      </c>
      <c r="C68" s="6">
        <v>0.0</v>
      </c>
      <c r="D68" s="11">
        <f t="shared" si="1"/>
        <v>0</v>
      </c>
      <c r="K68" s="22"/>
      <c r="L68" s="22"/>
    </row>
    <row r="69" ht="22.5" customHeight="1">
      <c r="A69" s="14" t="s">
        <v>165</v>
      </c>
      <c r="B69" s="16">
        <v>3246.0</v>
      </c>
      <c r="C69" s="6">
        <v>0.0</v>
      </c>
      <c r="D69" s="11">
        <f t="shared" si="1"/>
        <v>0</v>
      </c>
      <c r="K69" s="22"/>
      <c r="L69" s="22"/>
    </row>
    <row r="70" ht="22.5" customHeight="1">
      <c r="A70" s="3" t="s">
        <v>167</v>
      </c>
      <c r="B70" s="4">
        <v>3471.0</v>
      </c>
      <c r="C70" s="6">
        <v>0.0</v>
      </c>
      <c r="D70" s="11">
        <f t="shared" si="1"/>
        <v>0</v>
      </c>
      <c r="K70" s="22"/>
      <c r="L70" s="22"/>
    </row>
    <row r="71" ht="22.5" customHeight="1">
      <c r="A71" s="14" t="s">
        <v>169</v>
      </c>
      <c r="B71" s="16">
        <v>44503.0</v>
      </c>
      <c r="C71" s="6">
        <v>5.0</v>
      </c>
      <c r="D71" s="11">
        <f t="shared" si="1"/>
        <v>11.23519763</v>
      </c>
      <c r="K71" s="22"/>
      <c r="L71" s="22"/>
    </row>
    <row r="72" ht="22.5" customHeight="1">
      <c r="A72" s="3" t="s">
        <v>172</v>
      </c>
      <c r="B72" s="4">
        <v>7981.0</v>
      </c>
      <c r="C72" s="6">
        <v>1.0</v>
      </c>
      <c r="D72" s="11">
        <f t="shared" si="1"/>
        <v>12.52975818</v>
      </c>
      <c r="K72" s="22"/>
      <c r="L72" s="22"/>
    </row>
    <row r="73" ht="22.5" customHeight="1">
      <c r="A73" s="14" t="s">
        <v>173</v>
      </c>
      <c r="B73" s="16">
        <v>3389.0</v>
      </c>
      <c r="C73" s="6">
        <v>0.0</v>
      </c>
      <c r="D73" s="11">
        <f t="shared" si="1"/>
        <v>0</v>
      </c>
      <c r="K73" s="22"/>
      <c r="L73" s="22"/>
    </row>
    <row r="74" ht="22.5" customHeight="1">
      <c r="A74" s="3" t="s">
        <v>176</v>
      </c>
      <c r="B74" s="4">
        <v>52783.0</v>
      </c>
      <c r="C74" s="6">
        <v>4.0</v>
      </c>
      <c r="D74" s="11">
        <f t="shared" si="1"/>
        <v>7.578197526</v>
      </c>
      <c r="K74" s="22"/>
      <c r="L74" s="22"/>
    </row>
    <row r="75" ht="22.5" customHeight="1">
      <c r="A75" s="14" t="s">
        <v>178</v>
      </c>
      <c r="B75" s="16">
        <v>12094.0</v>
      </c>
      <c r="C75" s="6">
        <v>0.0</v>
      </c>
      <c r="D75" s="24">
        <f t="shared" si="1"/>
        <v>0</v>
      </c>
      <c r="K75" s="22"/>
      <c r="L75" s="22"/>
    </row>
    <row r="76" ht="22.5" customHeight="1">
      <c r="A76" s="25" t="s">
        <v>181</v>
      </c>
      <c r="B76" s="26">
        <v>24618.0</v>
      </c>
      <c r="C76" s="6">
        <v>1.0</v>
      </c>
      <c r="D76" s="24">
        <f t="shared" si="1"/>
        <v>4.062068405</v>
      </c>
      <c r="K76" s="22"/>
      <c r="L76" s="22"/>
    </row>
    <row r="77">
      <c r="K77" s="22"/>
      <c r="L77" s="22"/>
    </row>
    <row r="78">
      <c r="K78" s="22"/>
      <c r="L78" s="22"/>
    </row>
  </sheetData>
  <mergeCells count="1">
    <mergeCell ref="F20:I20"/>
  </mergeCells>
  <dataValidations>
    <dataValidation type="custom" allowBlank="1" showDropDown="1" sqref="B2:B76 D2:D76">
      <formula1>AND(ISNUMBER(B2),(NOT(OR(NOT(ISERROR(DATEVALUE(B2))), AND(ISNUMBER(B2), LEFT(CELL("format", B2))="D")))))</formula1>
    </dataValidation>
  </dataValidations>
  <hyperlinks>
    <hyperlink r:id="rId1" ref="F19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88"/>
  </cols>
  <sheetData>
    <row r="1" ht="22.5" customHeight="1">
      <c r="A1" s="1" t="s">
        <v>0</v>
      </c>
      <c r="B1" s="1" t="s">
        <v>2</v>
      </c>
      <c r="C1" s="1" t="s">
        <v>3</v>
      </c>
      <c r="D1" s="1" t="s">
        <v>6</v>
      </c>
    </row>
    <row r="2" ht="22.5" customHeight="1">
      <c r="A2" s="3" t="s">
        <v>10</v>
      </c>
      <c r="B2" s="4">
        <v>2202.0</v>
      </c>
      <c r="C2" s="6">
        <v>0.0</v>
      </c>
      <c r="D2" s="11">
        <f t="shared" ref="D2:D76" si="1">C2/(B2/100000)</f>
        <v>0</v>
      </c>
    </row>
    <row r="3" ht="22.5" customHeight="1">
      <c r="A3" s="14" t="s">
        <v>16</v>
      </c>
      <c r="B3" s="16">
        <v>20556.0</v>
      </c>
      <c r="C3" s="6">
        <v>5.0</v>
      </c>
      <c r="D3" s="11">
        <f t="shared" si="1"/>
        <v>24.3237984</v>
      </c>
      <c r="G3" s="17"/>
      <c r="I3" s="19"/>
      <c r="J3" s="19"/>
      <c r="K3" s="20"/>
      <c r="L3" s="20"/>
    </row>
    <row r="4" ht="22.5" customHeight="1">
      <c r="A4" s="3" t="s">
        <v>18</v>
      </c>
      <c r="B4" s="4">
        <v>630932.0</v>
      </c>
      <c r="C4" s="6">
        <v>239.0</v>
      </c>
      <c r="D4" s="11">
        <f t="shared" si="1"/>
        <v>37.88046889</v>
      </c>
      <c r="K4" s="22"/>
      <c r="L4" s="22"/>
    </row>
    <row r="5" ht="22.5" customHeight="1">
      <c r="A5" s="14" t="s">
        <v>20</v>
      </c>
      <c r="B5" s="16">
        <v>10464.0</v>
      </c>
      <c r="C5" s="6">
        <v>1.0</v>
      </c>
      <c r="D5" s="11">
        <f t="shared" si="1"/>
        <v>9.556574924</v>
      </c>
      <c r="K5" s="22"/>
      <c r="L5" s="22"/>
    </row>
    <row r="6" ht="22.5" customHeight="1">
      <c r="A6" s="3" t="s">
        <v>22</v>
      </c>
      <c r="B6" s="4">
        <v>18626.0</v>
      </c>
      <c r="C6" s="6">
        <v>1.0</v>
      </c>
      <c r="D6" s="11">
        <f t="shared" si="1"/>
        <v>5.368839257</v>
      </c>
      <c r="K6" s="22"/>
      <c r="L6" s="22"/>
    </row>
    <row r="7" ht="22.5" customHeight="1">
      <c r="A7" s="14" t="s">
        <v>25</v>
      </c>
      <c r="B7" s="16">
        <v>45175.0</v>
      </c>
      <c r="C7" s="6">
        <v>14.0</v>
      </c>
      <c r="D7" s="11">
        <f t="shared" si="1"/>
        <v>30.99059214</v>
      </c>
      <c r="K7" s="22"/>
      <c r="L7" s="22"/>
    </row>
    <row r="8" ht="22.5" customHeight="1">
      <c r="A8" s="3" t="s">
        <v>27</v>
      </c>
      <c r="B8" s="4">
        <v>25007.0</v>
      </c>
      <c r="C8" s="6">
        <v>10.0</v>
      </c>
      <c r="D8" s="11">
        <f t="shared" si="1"/>
        <v>39.98880314</v>
      </c>
      <c r="K8" s="22"/>
      <c r="L8" s="22"/>
    </row>
    <row r="9" ht="22.5" customHeight="1">
      <c r="A9" s="14" t="s">
        <v>29</v>
      </c>
      <c r="B9" s="16">
        <v>8025.0</v>
      </c>
      <c r="C9" s="6">
        <v>6.0</v>
      </c>
      <c r="D9" s="11">
        <f t="shared" si="1"/>
        <v>74.76635514</v>
      </c>
      <c r="K9" s="22"/>
      <c r="L9" s="22"/>
    </row>
    <row r="10" ht="22.5" customHeight="1">
      <c r="A10" s="3" t="s">
        <v>32</v>
      </c>
      <c r="B10" s="4">
        <v>18719.0</v>
      </c>
      <c r="C10" s="6">
        <v>3.0</v>
      </c>
      <c r="D10" s="11">
        <f t="shared" si="1"/>
        <v>16.02649714</v>
      </c>
      <c r="K10" s="22"/>
      <c r="L10" s="22"/>
    </row>
    <row r="11" ht="22.5" customHeight="1">
      <c r="A11" s="14" t="s">
        <v>34</v>
      </c>
      <c r="B11" s="16">
        <v>3850.0</v>
      </c>
      <c r="C11" s="6">
        <v>2.0</v>
      </c>
      <c r="D11" s="11">
        <f t="shared" si="1"/>
        <v>51.94805195</v>
      </c>
      <c r="K11" s="22"/>
      <c r="L11" s="22"/>
    </row>
    <row r="12" ht="22.5" customHeight="1">
      <c r="A12" s="3" t="s">
        <v>36</v>
      </c>
      <c r="B12" s="4">
        <v>33641.0</v>
      </c>
      <c r="C12" s="6">
        <v>11.0</v>
      </c>
      <c r="D12" s="11">
        <f t="shared" si="1"/>
        <v>32.69819565</v>
      </c>
      <c r="K12" s="22"/>
      <c r="L12" s="22"/>
    </row>
    <row r="13" ht="22.5" customHeight="1">
      <c r="A13" s="14" t="s">
        <v>39</v>
      </c>
      <c r="B13" s="16">
        <v>32783.0</v>
      </c>
      <c r="C13" s="6">
        <v>3.0</v>
      </c>
      <c r="D13" s="11">
        <f t="shared" si="1"/>
        <v>9.151084404</v>
      </c>
      <c r="K13" s="22"/>
      <c r="L13" s="22"/>
    </row>
    <row r="14" ht="22.5" customHeight="1">
      <c r="A14" s="3" t="s">
        <v>41</v>
      </c>
      <c r="B14" s="4">
        <v>20314.0</v>
      </c>
      <c r="C14" s="6">
        <v>0.0</v>
      </c>
      <c r="D14" s="11">
        <f t="shared" si="1"/>
        <v>0</v>
      </c>
      <c r="K14" s="22"/>
      <c r="L14" s="22"/>
    </row>
    <row r="15" ht="22.5" customHeight="1">
      <c r="A15" s="14" t="s">
        <v>43</v>
      </c>
      <c r="B15" s="16">
        <v>14203.0</v>
      </c>
      <c r="C15" s="6">
        <v>5.0</v>
      </c>
      <c r="D15" s="11">
        <f t="shared" si="1"/>
        <v>35.20383018</v>
      </c>
      <c r="K15" s="22"/>
      <c r="L15" s="22"/>
    </row>
    <row r="16" ht="22.5" customHeight="1">
      <c r="A16" s="3" t="s">
        <v>45</v>
      </c>
      <c r="B16" s="4">
        <v>5474.0</v>
      </c>
      <c r="C16" s="6">
        <v>5.0</v>
      </c>
      <c r="D16" s="11">
        <f t="shared" si="1"/>
        <v>91.34088418</v>
      </c>
      <c r="K16" s="22"/>
      <c r="L16" s="22"/>
    </row>
    <row r="17" ht="22.5" customHeight="1">
      <c r="A17" s="14" t="s">
        <v>46</v>
      </c>
      <c r="B17" s="16">
        <v>17594.0</v>
      </c>
      <c r="C17" s="6">
        <v>0.0</v>
      </c>
      <c r="D17" s="11">
        <f t="shared" si="1"/>
        <v>0</v>
      </c>
      <c r="K17" s="22"/>
      <c r="L17" s="22"/>
    </row>
    <row r="18" ht="22.5" customHeight="1">
      <c r="A18" s="3" t="s">
        <v>48</v>
      </c>
      <c r="B18" s="4">
        <v>3872.0</v>
      </c>
      <c r="C18" s="6">
        <v>3.0</v>
      </c>
      <c r="D18" s="11">
        <f t="shared" si="1"/>
        <v>77.47933884</v>
      </c>
      <c r="K18" s="22"/>
      <c r="L18" s="22"/>
    </row>
    <row r="19" ht="22.5" customHeight="1">
      <c r="A19" s="14" t="s">
        <v>52</v>
      </c>
      <c r="B19" s="16">
        <v>4436.0</v>
      </c>
      <c r="C19" s="6">
        <v>1.0</v>
      </c>
      <c r="D19" s="11">
        <f t="shared" si="1"/>
        <v>22.54283138</v>
      </c>
      <c r="F19" s="17" t="s">
        <v>56</v>
      </c>
      <c r="K19" s="22"/>
      <c r="L19" s="22"/>
    </row>
    <row r="20" ht="22.5" customHeight="1">
      <c r="A20" s="3" t="s">
        <v>57</v>
      </c>
      <c r="B20" s="4">
        <v>67060.0</v>
      </c>
      <c r="C20" s="6">
        <v>14.0</v>
      </c>
      <c r="D20" s="11">
        <f t="shared" si="1"/>
        <v>20.87682672</v>
      </c>
      <c r="F20" s="23" t="s">
        <v>55</v>
      </c>
      <c r="K20" s="22"/>
      <c r="L20" s="22"/>
    </row>
    <row r="21" ht="22.5" customHeight="1">
      <c r="A21" s="14" t="s">
        <v>61</v>
      </c>
      <c r="B21" s="16">
        <v>6358.0</v>
      </c>
      <c r="C21" s="6">
        <v>6.0</v>
      </c>
      <c r="D21" s="11">
        <f t="shared" si="1"/>
        <v>94.36929852</v>
      </c>
      <c r="F21" s="17" t="s">
        <v>63</v>
      </c>
      <c r="K21" s="22"/>
      <c r="L21" s="22"/>
    </row>
    <row r="22" ht="22.5" customHeight="1">
      <c r="A22" s="3" t="s">
        <v>64</v>
      </c>
      <c r="B22" s="4">
        <v>14921.0</v>
      </c>
      <c r="C22" s="6">
        <v>0.0</v>
      </c>
      <c r="D22" s="11">
        <f t="shared" si="1"/>
        <v>0</v>
      </c>
      <c r="F22" s="17" t="s">
        <v>66</v>
      </c>
      <c r="K22" s="22"/>
      <c r="L22" s="22"/>
    </row>
    <row r="23" ht="22.5" customHeight="1">
      <c r="A23" s="14" t="s">
        <v>67</v>
      </c>
      <c r="B23" s="16">
        <v>11294.0</v>
      </c>
      <c r="C23" s="6">
        <v>7.0</v>
      </c>
      <c r="D23" s="11">
        <f t="shared" si="1"/>
        <v>61.97981229</v>
      </c>
      <c r="K23" s="22"/>
      <c r="L23" s="22"/>
    </row>
    <row r="24" ht="22.5" customHeight="1">
      <c r="A24" s="3" t="s">
        <v>70</v>
      </c>
      <c r="B24" s="4">
        <v>3118.0</v>
      </c>
      <c r="C24" s="6">
        <v>0.0</v>
      </c>
      <c r="D24" s="11">
        <f t="shared" si="1"/>
        <v>0</v>
      </c>
      <c r="K24" s="22"/>
      <c r="L24" s="22"/>
    </row>
    <row r="25" ht="22.5" customHeight="1">
      <c r="A25" s="14" t="s">
        <v>71</v>
      </c>
      <c r="B25" s="16">
        <v>5910.0</v>
      </c>
      <c r="C25" s="6">
        <v>6.0</v>
      </c>
      <c r="D25" s="11">
        <f t="shared" si="1"/>
        <v>101.5228426</v>
      </c>
      <c r="K25" s="22"/>
      <c r="L25" s="22"/>
    </row>
    <row r="26" ht="22.5" customHeight="1">
      <c r="A26" s="3" t="s">
        <v>73</v>
      </c>
      <c r="B26" s="4">
        <v>8499.0</v>
      </c>
      <c r="C26" s="6">
        <v>0.0</v>
      </c>
      <c r="D26" s="11">
        <f t="shared" si="1"/>
        <v>0</v>
      </c>
      <c r="K26" s="22"/>
      <c r="L26" s="22"/>
    </row>
    <row r="27" ht="22.5" customHeight="1">
      <c r="A27" s="14" t="s">
        <v>75</v>
      </c>
      <c r="B27" s="16">
        <v>16991.0</v>
      </c>
      <c r="C27" s="6">
        <v>1.0</v>
      </c>
      <c r="D27" s="11">
        <f t="shared" si="1"/>
        <v>5.885468778</v>
      </c>
      <c r="K27" s="22"/>
      <c r="L27" s="22"/>
    </row>
    <row r="28" ht="22.5" customHeight="1">
      <c r="A28" s="3" t="s">
        <v>77</v>
      </c>
      <c r="B28" s="4">
        <v>109250.0</v>
      </c>
      <c r="C28" s="6">
        <v>11.0</v>
      </c>
      <c r="D28" s="11">
        <f t="shared" si="1"/>
        <v>10.06864989</v>
      </c>
      <c r="K28" s="22"/>
      <c r="L28" s="22"/>
    </row>
    <row r="29" ht="22.5" customHeight="1">
      <c r="A29" s="14" t="s">
        <v>79</v>
      </c>
      <c r="B29" s="16">
        <v>42230.0</v>
      </c>
      <c r="C29" s="6">
        <v>4.0</v>
      </c>
      <c r="D29" s="11">
        <f t="shared" si="1"/>
        <v>9.47193938</v>
      </c>
      <c r="K29" s="22"/>
      <c r="L29" s="22"/>
    </row>
    <row r="30" ht="22.5" customHeight="1">
      <c r="A30" s="3" t="s">
        <v>81</v>
      </c>
      <c r="B30" s="4">
        <v>4746.0</v>
      </c>
      <c r="C30" s="6">
        <v>8.0</v>
      </c>
      <c r="D30" s="11">
        <f t="shared" si="1"/>
        <v>168.5630004</v>
      </c>
      <c r="K30" s="22"/>
      <c r="L30" s="22"/>
    </row>
    <row r="31" ht="22.5" customHeight="1">
      <c r="A31" s="14" t="s">
        <v>84</v>
      </c>
      <c r="B31" s="16">
        <v>36074.0</v>
      </c>
      <c r="C31" s="6">
        <v>3.0</v>
      </c>
      <c r="D31" s="11">
        <f t="shared" si="1"/>
        <v>8.316238842</v>
      </c>
      <c r="K31" s="22"/>
      <c r="L31" s="22"/>
    </row>
    <row r="32" ht="22.5" customHeight="1">
      <c r="A32" s="3" t="s">
        <v>85</v>
      </c>
      <c r="B32" s="4">
        <v>16451.0</v>
      </c>
      <c r="C32" s="6">
        <v>1.0</v>
      </c>
      <c r="D32" s="11">
        <f t="shared" si="1"/>
        <v>6.078657832</v>
      </c>
      <c r="K32" s="22"/>
      <c r="L32" s="22"/>
    </row>
    <row r="33" ht="22.5" customHeight="1">
      <c r="A33" s="14" t="s">
        <v>88</v>
      </c>
      <c r="B33" s="16">
        <v>13723.0</v>
      </c>
      <c r="C33" s="6">
        <v>3.0</v>
      </c>
      <c r="D33" s="11">
        <f t="shared" si="1"/>
        <v>21.86110909</v>
      </c>
      <c r="K33" s="22"/>
      <c r="L33" s="22"/>
    </row>
    <row r="34" ht="22.5" customHeight="1">
      <c r="A34" s="3" t="s">
        <v>90</v>
      </c>
      <c r="B34" s="4">
        <v>105957.0</v>
      </c>
      <c r="C34" s="6">
        <v>13.0</v>
      </c>
      <c r="D34" s="11">
        <f t="shared" si="1"/>
        <v>12.26912804</v>
      </c>
      <c r="K34" s="22"/>
      <c r="L34" s="22"/>
    </row>
    <row r="35" ht="22.5" customHeight="1">
      <c r="A35" s="14" t="s">
        <v>93</v>
      </c>
      <c r="B35" s="16">
        <v>24047.0</v>
      </c>
      <c r="C35" s="6">
        <v>5.0</v>
      </c>
      <c r="D35" s="11">
        <f t="shared" si="1"/>
        <v>20.79261446</v>
      </c>
      <c r="K35" s="22"/>
      <c r="L35" s="22"/>
    </row>
    <row r="36" ht="22.5" customHeight="1">
      <c r="A36" s="3" t="s">
        <v>95</v>
      </c>
      <c r="B36" s="4">
        <v>7048.0</v>
      </c>
      <c r="C36" s="6">
        <v>0.0</v>
      </c>
      <c r="D36" s="11">
        <f t="shared" si="1"/>
        <v>0</v>
      </c>
      <c r="K36" s="22"/>
      <c r="L36" s="22"/>
    </row>
    <row r="37" ht="22.5" customHeight="1">
      <c r="A37" s="14" t="s">
        <v>97</v>
      </c>
      <c r="B37" s="16">
        <v>3674.0</v>
      </c>
      <c r="C37" s="6">
        <v>3.0</v>
      </c>
      <c r="D37" s="11">
        <f t="shared" si="1"/>
        <v>81.65487207</v>
      </c>
      <c r="K37" s="22"/>
      <c r="L37" s="22"/>
    </row>
    <row r="38" ht="22.5" customHeight="1">
      <c r="A38" s="3" t="s">
        <v>100</v>
      </c>
      <c r="B38" s="4">
        <v>11712.0</v>
      </c>
      <c r="C38" s="6">
        <v>1.0</v>
      </c>
      <c r="D38" s="11">
        <f t="shared" si="1"/>
        <v>8.538251366</v>
      </c>
      <c r="K38" s="22"/>
      <c r="L38" s="22"/>
    </row>
    <row r="39" ht="22.5" customHeight="1">
      <c r="A39" s="14" t="s">
        <v>102</v>
      </c>
      <c r="B39" s="16">
        <v>15956.0</v>
      </c>
      <c r="C39" s="6">
        <v>0.0</v>
      </c>
      <c r="D39" s="11">
        <f t="shared" si="1"/>
        <v>0</v>
      </c>
      <c r="K39" s="22"/>
      <c r="L39" s="22"/>
    </row>
    <row r="40" ht="22.5" customHeight="1">
      <c r="A40" s="3" t="s">
        <v>104</v>
      </c>
      <c r="B40" s="4">
        <v>11297.0</v>
      </c>
      <c r="C40" s="6">
        <v>14.0</v>
      </c>
      <c r="D40" s="11">
        <f t="shared" si="1"/>
        <v>123.9267062</v>
      </c>
      <c r="K40" s="22"/>
      <c r="L40" s="22"/>
    </row>
    <row r="41" ht="22.5" customHeight="1">
      <c r="A41" s="14" t="s">
        <v>106</v>
      </c>
      <c r="B41" s="16">
        <v>14781.0</v>
      </c>
      <c r="C41" s="6">
        <v>11.0</v>
      </c>
      <c r="D41" s="11">
        <f t="shared" si="1"/>
        <v>74.41986334</v>
      </c>
      <c r="K41" s="22"/>
      <c r="L41" s="22"/>
    </row>
    <row r="42" ht="22.5" customHeight="1">
      <c r="A42" s="3" t="s">
        <v>108</v>
      </c>
      <c r="B42" s="4">
        <v>8059.0</v>
      </c>
      <c r="C42" s="6">
        <v>2.0</v>
      </c>
      <c r="D42" s="11">
        <f t="shared" si="1"/>
        <v>24.81697481</v>
      </c>
      <c r="K42" s="22"/>
      <c r="L42" s="22"/>
    </row>
    <row r="43" ht="22.5" customHeight="1">
      <c r="A43" s="14" t="s">
        <v>110</v>
      </c>
      <c r="B43" s="16">
        <v>16473.0</v>
      </c>
      <c r="C43" s="6">
        <v>5.0</v>
      </c>
      <c r="D43" s="11">
        <f t="shared" si="1"/>
        <v>30.35269835</v>
      </c>
      <c r="K43" s="22"/>
      <c r="L43" s="22"/>
    </row>
    <row r="44" ht="22.5" customHeight="1">
      <c r="A44" s="3" t="s">
        <v>113</v>
      </c>
      <c r="B44" s="4">
        <v>9534.0</v>
      </c>
      <c r="C44" s="6">
        <v>5.0</v>
      </c>
      <c r="D44" s="11">
        <f t="shared" si="1"/>
        <v>52.44388504</v>
      </c>
      <c r="K44" s="22"/>
      <c r="L44" s="22"/>
    </row>
    <row r="45" ht="22.5" customHeight="1">
      <c r="A45" s="14" t="s">
        <v>115</v>
      </c>
      <c r="B45" s="16">
        <v>43686.0</v>
      </c>
      <c r="C45" s="6">
        <v>33.0</v>
      </c>
      <c r="D45" s="11">
        <f t="shared" si="1"/>
        <v>75.5390743</v>
      </c>
      <c r="K45" s="22"/>
      <c r="L45" s="22"/>
    </row>
    <row r="46" ht="22.5" customHeight="1">
      <c r="A46" s="3" t="s">
        <v>117</v>
      </c>
      <c r="B46" s="4">
        <v>25569.0</v>
      </c>
      <c r="C46" s="6">
        <v>6.0</v>
      </c>
      <c r="D46" s="11">
        <f t="shared" si="1"/>
        <v>23.46591576</v>
      </c>
      <c r="K46" s="22"/>
      <c r="L46" s="22"/>
    </row>
    <row r="47" ht="22.5" customHeight="1">
      <c r="A47" s="14" t="s">
        <v>119</v>
      </c>
      <c r="B47" s="16">
        <v>6409.0</v>
      </c>
      <c r="C47" s="6">
        <v>1.0</v>
      </c>
      <c r="D47" s="11">
        <f t="shared" si="1"/>
        <v>15.6030582</v>
      </c>
      <c r="K47" s="22"/>
      <c r="L47" s="22"/>
    </row>
    <row r="48" ht="22.5" customHeight="1">
      <c r="A48" s="3" t="s">
        <v>122</v>
      </c>
      <c r="B48" s="4">
        <v>204081.0</v>
      </c>
      <c r="C48" s="6">
        <v>108.0</v>
      </c>
      <c r="D48" s="11">
        <f t="shared" si="1"/>
        <v>52.92016405</v>
      </c>
      <c r="K48" s="22"/>
      <c r="L48" s="22"/>
    </row>
    <row r="49" ht="22.5" customHeight="1">
      <c r="A49" s="14" t="s">
        <v>124</v>
      </c>
      <c r="B49" s="16">
        <v>12609.0</v>
      </c>
      <c r="C49" s="6">
        <v>5.0</v>
      </c>
      <c r="D49" s="11">
        <f t="shared" si="1"/>
        <v>39.65421524</v>
      </c>
      <c r="K49" s="22"/>
      <c r="L49" s="22"/>
    </row>
    <row r="50" ht="22.5" customHeight="1">
      <c r="A50" s="3" t="s">
        <v>126</v>
      </c>
      <c r="B50" s="4">
        <v>2811.0</v>
      </c>
      <c r="C50" s="6">
        <v>1.0</v>
      </c>
      <c r="D50" s="11">
        <f t="shared" si="1"/>
        <v>35.57452864</v>
      </c>
      <c r="K50" s="22"/>
      <c r="L50" s="22"/>
    </row>
    <row r="51" ht="22.5" customHeight="1">
      <c r="A51" s="14" t="s">
        <v>129</v>
      </c>
      <c r="B51" s="16">
        <v>7355.0</v>
      </c>
      <c r="C51" s="6">
        <v>1.0</v>
      </c>
      <c r="D51" s="11">
        <f t="shared" si="1"/>
        <v>13.59619307</v>
      </c>
      <c r="K51" s="22"/>
      <c r="L51" s="22"/>
    </row>
    <row r="52" ht="22.5" customHeight="1">
      <c r="A52" s="3" t="s">
        <v>130</v>
      </c>
      <c r="B52" s="4">
        <v>5759.0</v>
      </c>
      <c r="C52" s="6">
        <v>1.0</v>
      </c>
      <c r="D52" s="11">
        <f t="shared" si="1"/>
        <v>17.36412572</v>
      </c>
      <c r="K52" s="22"/>
      <c r="L52" s="22"/>
    </row>
    <row r="53" ht="22.5" customHeight="1">
      <c r="A53" s="14" t="s">
        <v>132</v>
      </c>
      <c r="B53" s="16">
        <v>8021.0</v>
      </c>
      <c r="C53" s="6">
        <v>0.0</v>
      </c>
      <c r="D53" s="11">
        <f t="shared" si="1"/>
        <v>0</v>
      </c>
      <c r="K53" s="22"/>
      <c r="L53" s="22"/>
    </row>
    <row r="54" ht="22.5" customHeight="1">
      <c r="A54" s="3" t="s">
        <v>133</v>
      </c>
      <c r="B54" s="4">
        <v>29238.0</v>
      </c>
      <c r="C54" s="6">
        <v>6.0</v>
      </c>
      <c r="D54" s="11">
        <f t="shared" si="1"/>
        <v>20.52123948</v>
      </c>
      <c r="K54" s="22"/>
      <c r="L54" s="22"/>
    </row>
    <row r="55" ht="22.5" customHeight="1">
      <c r="A55" s="14" t="s">
        <v>135</v>
      </c>
      <c r="B55" s="16">
        <v>22217.0</v>
      </c>
      <c r="C55" s="6">
        <v>4.0</v>
      </c>
      <c r="D55" s="11">
        <f t="shared" si="1"/>
        <v>18.00423099</v>
      </c>
      <c r="K55" s="22"/>
      <c r="L55" s="22"/>
    </row>
    <row r="56" ht="22.5" customHeight="1">
      <c r="A56" s="3" t="s">
        <v>138</v>
      </c>
      <c r="B56" s="4">
        <v>27348.0</v>
      </c>
      <c r="C56" s="6">
        <v>4.0</v>
      </c>
      <c r="D56" s="11">
        <f t="shared" si="1"/>
        <v>14.62629808</v>
      </c>
      <c r="K56" s="22"/>
      <c r="L56" s="22"/>
    </row>
    <row r="57" ht="22.5" customHeight="1">
      <c r="A57" s="14" t="s">
        <v>140</v>
      </c>
      <c r="B57" s="16">
        <v>27213.0</v>
      </c>
      <c r="C57" s="6">
        <v>19.0</v>
      </c>
      <c r="D57" s="11">
        <f t="shared" si="1"/>
        <v>69.81957153</v>
      </c>
      <c r="K57" s="22"/>
      <c r="L57" s="22"/>
    </row>
    <row r="58" ht="22.5" customHeight="1">
      <c r="A58" s="3" t="s">
        <v>142</v>
      </c>
      <c r="B58" s="4">
        <v>18541.0</v>
      </c>
      <c r="C58" s="6">
        <v>2.0</v>
      </c>
      <c r="D58" s="11">
        <f t="shared" si="1"/>
        <v>10.7869047</v>
      </c>
      <c r="K58" s="22"/>
      <c r="L58" s="22"/>
    </row>
    <row r="59" ht="22.5" customHeight="1">
      <c r="A59" s="14" t="s">
        <v>145</v>
      </c>
      <c r="B59" s="16">
        <v>8853.0</v>
      </c>
      <c r="C59" s="6">
        <v>0.0</v>
      </c>
      <c r="D59" s="11">
        <f t="shared" si="1"/>
        <v>0</v>
      </c>
      <c r="K59" s="22"/>
      <c r="L59" s="22"/>
    </row>
    <row r="60" ht="22.5" customHeight="1">
      <c r="A60" s="3" t="s">
        <v>146</v>
      </c>
      <c r="B60" s="4">
        <v>17365.0</v>
      </c>
      <c r="C60" s="6">
        <v>0.0</v>
      </c>
      <c r="D60" s="11">
        <f t="shared" si="1"/>
        <v>0</v>
      </c>
      <c r="K60" s="22"/>
      <c r="L60" s="22"/>
    </row>
    <row r="61" ht="22.5" customHeight="1">
      <c r="A61" s="14" t="s">
        <v>149</v>
      </c>
      <c r="B61" s="16">
        <v>9507.0</v>
      </c>
      <c r="C61" s="6">
        <v>1.0</v>
      </c>
      <c r="D61" s="11">
        <f t="shared" si="1"/>
        <v>10.51856527</v>
      </c>
      <c r="K61" s="22"/>
      <c r="L61" s="22"/>
    </row>
    <row r="62" ht="22.5" customHeight="1">
      <c r="A62" s="3" t="s">
        <v>150</v>
      </c>
      <c r="B62" s="4">
        <v>20825.0</v>
      </c>
      <c r="C62" s="6">
        <v>3.0</v>
      </c>
      <c r="D62" s="11">
        <f t="shared" si="1"/>
        <v>14.4057623</v>
      </c>
      <c r="K62" s="22"/>
      <c r="L62" s="22"/>
    </row>
    <row r="63" ht="22.5" customHeight="1">
      <c r="A63" s="14" t="s">
        <v>152</v>
      </c>
      <c r="B63" s="16">
        <v>14003.0</v>
      </c>
      <c r="C63" s="6">
        <v>1.0</v>
      </c>
      <c r="D63" s="11">
        <f t="shared" si="1"/>
        <v>7.141326859</v>
      </c>
      <c r="K63" s="22"/>
      <c r="L63" s="22"/>
    </row>
    <row r="64" ht="22.5" customHeight="1">
      <c r="A64" s="3" t="s">
        <v>154</v>
      </c>
      <c r="B64" s="4">
        <v>4049.0</v>
      </c>
      <c r="C64" s="6">
        <v>9.0</v>
      </c>
      <c r="D64" s="11">
        <f t="shared" si="1"/>
        <v>222.2771055</v>
      </c>
      <c r="K64" s="22"/>
      <c r="L64" s="22"/>
    </row>
    <row r="65" ht="22.5" customHeight="1">
      <c r="A65" s="14" t="s">
        <v>155</v>
      </c>
      <c r="B65" s="16">
        <v>7549.0</v>
      </c>
      <c r="C65" s="6">
        <v>3.0</v>
      </c>
      <c r="D65" s="11">
        <f t="shared" si="1"/>
        <v>39.74036296</v>
      </c>
      <c r="K65" s="22"/>
      <c r="L65" s="22"/>
    </row>
    <row r="66" ht="22.5" customHeight="1">
      <c r="A66" s="3" t="s">
        <v>158</v>
      </c>
      <c r="B66" s="4">
        <v>11289.0</v>
      </c>
      <c r="C66" s="6">
        <v>1.0</v>
      </c>
      <c r="D66" s="11">
        <f t="shared" si="1"/>
        <v>8.85818053</v>
      </c>
      <c r="K66" s="22"/>
      <c r="L66" s="22"/>
    </row>
    <row r="67" ht="22.5" customHeight="1">
      <c r="A67" s="14" t="s">
        <v>160</v>
      </c>
      <c r="B67" s="16">
        <v>101213.0</v>
      </c>
      <c r="C67" s="6">
        <v>22.0</v>
      </c>
      <c r="D67" s="11">
        <f t="shared" si="1"/>
        <v>21.73633822</v>
      </c>
      <c r="K67" s="22"/>
      <c r="L67" s="22"/>
    </row>
    <row r="68" ht="22.5" customHeight="1">
      <c r="A68" s="3" t="s">
        <v>162</v>
      </c>
      <c r="B68" s="4">
        <v>10559.0</v>
      </c>
      <c r="C68" s="6">
        <v>0.0</v>
      </c>
      <c r="D68" s="11">
        <f t="shared" si="1"/>
        <v>0</v>
      </c>
      <c r="K68" s="22"/>
      <c r="L68" s="22"/>
    </row>
    <row r="69" ht="22.5" customHeight="1">
      <c r="A69" s="14" t="s">
        <v>165</v>
      </c>
      <c r="B69" s="16">
        <v>3246.0</v>
      </c>
      <c r="C69" s="6">
        <v>1.0</v>
      </c>
      <c r="D69" s="11">
        <f t="shared" si="1"/>
        <v>30.80714726</v>
      </c>
      <c r="K69" s="22"/>
      <c r="L69" s="22"/>
    </row>
    <row r="70" ht="22.5" customHeight="1">
      <c r="A70" s="3" t="s">
        <v>167</v>
      </c>
      <c r="B70" s="4">
        <v>3471.0</v>
      </c>
      <c r="C70" s="6">
        <v>3.0</v>
      </c>
      <c r="D70" s="11">
        <f t="shared" si="1"/>
        <v>86.43042351</v>
      </c>
      <c r="K70" s="22"/>
      <c r="L70" s="22"/>
    </row>
    <row r="71" ht="22.5" customHeight="1">
      <c r="A71" s="14" t="s">
        <v>169</v>
      </c>
      <c r="B71" s="16">
        <v>44503.0</v>
      </c>
      <c r="C71" s="6">
        <v>10.0</v>
      </c>
      <c r="D71" s="11">
        <f t="shared" si="1"/>
        <v>22.47039525</v>
      </c>
      <c r="K71" s="22"/>
      <c r="L71" s="22"/>
    </row>
    <row r="72" ht="22.5" customHeight="1">
      <c r="A72" s="3" t="s">
        <v>172</v>
      </c>
      <c r="B72" s="4">
        <v>7981.0</v>
      </c>
      <c r="C72" s="6">
        <v>3.0</v>
      </c>
      <c r="D72" s="11">
        <f t="shared" si="1"/>
        <v>37.58927453</v>
      </c>
      <c r="K72" s="22"/>
      <c r="L72" s="22"/>
    </row>
    <row r="73" ht="22.5" customHeight="1">
      <c r="A73" s="14" t="s">
        <v>173</v>
      </c>
      <c r="B73" s="16">
        <v>3389.0</v>
      </c>
      <c r="C73" s="6">
        <v>1.0</v>
      </c>
      <c r="D73" s="11">
        <f t="shared" si="1"/>
        <v>29.50722927</v>
      </c>
      <c r="K73" s="22"/>
      <c r="L73" s="22"/>
    </row>
    <row r="74" ht="22.5" customHeight="1">
      <c r="A74" s="3" t="s">
        <v>176</v>
      </c>
      <c r="B74" s="4">
        <v>52783.0</v>
      </c>
      <c r="C74" s="6">
        <v>47.0</v>
      </c>
      <c r="D74" s="11">
        <f t="shared" si="1"/>
        <v>89.04382093</v>
      </c>
      <c r="K74" s="22"/>
      <c r="L74" s="22"/>
    </row>
    <row r="75" ht="22.5" customHeight="1">
      <c r="A75" s="14" t="s">
        <v>178</v>
      </c>
      <c r="B75" s="16">
        <v>12094.0</v>
      </c>
      <c r="C75" s="6">
        <v>2.0</v>
      </c>
      <c r="D75" s="24">
        <f t="shared" si="1"/>
        <v>16.53712585</v>
      </c>
      <c r="K75" s="22"/>
      <c r="L75" s="22"/>
    </row>
    <row r="76" ht="22.5" customHeight="1">
      <c r="A76" s="25" t="s">
        <v>181</v>
      </c>
      <c r="B76" s="26">
        <v>24618.0</v>
      </c>
      <c r="C76" s="6">
        <v>2.0</v>
      </c>
      <c r="D76" s="24">
        <f t="shared" si="1"/>
        <v>8.12413681</v>
      </c>
      <c r="K76" s="22"/>
      <c r="L76" s="22"/>
    </row>
    <row r="77">
      <c r="K77" s="22"/>
      <c r="L77" s="22"/>
    </row>
    <row r="78">
      <c r="K78" s="22"/>
      <c r="L78" s="22"/>
    </row>
  </sheetData>
  <dataValidations>
    <dataValidation type="custom" allowBlank="1" showDropDown="1" sqref="B2:B76 D2:D76">
      <formula1>AND(ISNUMBER(B2),(NOT(OR(NOT(ISERROR(DATEVALUE(B2))), AND(ISNUMBER(B2), LEFT(CELL("format", B2))="D")))))</formula1>
    </dataValidation>
  </dataValidations>
  <hyperlinks>
    <hyperlink r:id="rId1" ref="F20"/>
  </hyperlinks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99.75"/>
  </cols>
  <sheetData>
    <row r="3">
      <c r="A3" s="28"/>
      <c r="B3" s="29"/>
      <c r="C3" s="29"/>
      <c r="D3" s="29"/>
      <c r="E3" s="29"/>
      <c r="F3" s="29"/>
      <c r="G3" s="29"/>
      <c r="H3" s="29"/>
      <c r="I3" s="29"/>
    </row>
    <row r="4">
      <c r="A4" s="28"/>
      <c r="B4" s="29"/>
      <c r="C4" s="29"/>
      <c r="D4" s="29"/>
      <c r="E4" s="29"/>
      <c r="F4" s="29"/>
      <c r="G4" s="29"/>
      <c r="H4" s="29"/>
      <c r="I4" s="29"/>
    </row>
    <row r="5">
      <c r="A5" s="28"/>
      <c r="B5" s="30" t="s">
        <v>200</v>
      </c>
    </row>
    <row r="6">
      <c r="B6" s="23" t="s">
        <v>202</v>
      </c>
    </row>
    <row r="7">
      <c r="B7" s="23" t="s">
        <v>206</v>
      </c>
    </row>
    <row r="9" ht="22.5" customHeight="1">
      <c r="A9" s="36" t="s">
        <v>0</v>
      </c>
      <c r="B9" s="36" t="s">
        <v>213</v>
      </c>
      <c r="C9" s="36" t="s">
        <v>214</v>
      </c>
      <c r="D9" s="36" t="s">
        <v>216</v>
      </c>
      <c r="E9" s="36" t="s">
        <v>217</v>
      </c>
    </row>
    <row r="10" ht="22.5" customHeight="1">
      <c r="A10" s="37" t="s">
        <v>218</v>
      </c>
      <c r="B10" s="37" t="s">
        <v>219</v>
      </c>
      <c r="C10" s="39">
        <v>51.7</v>
      </c>
      <c r="D10" s="37" t="s">
        <v>222</v>
      </c>
      <c r="E10" s="37"/>
    </row>
    <row r="11" ht="22.5" customHeight="1">
      <c r="A11" s="37" t="s">
        <v>223</v>
      </c>
      <c r="B11" s="37" t="s">
        <v>224</v>
      </c>
      <c r="C11" s="42">
        <v>92.1</v>
      </c>
      <c r="D11" s="37" t="s">
        <v>222</v>
      </c>
      <c r="E11" s="37"/>
    </row>
    <row r="12" ht="22.5" customHeight="1">
      <c r="A12" s="37" t="s">
        <v>18</v>
      </c>
      <c r="B12" s="37" t="s">
        <v>227</v>
      </c>
      <c r="C12" s="39">
        <v>102.0</v>
      </c>
      <c r="D12" s="44" t="s">
        <v>229</v>
      </c>
      <c r="E12" s="37"/>
    </row>
    <row r="13" ht="22.5" customHeight="1">
      <c r="A13" s="37" t="s">
        <v>20</v>
      </c>
      <c r="B13" s="37" t="s">
        <v>231</v>
      </c>
      <c r="C13" s="42">
        <v>148.3</v>
      </c>
      <c r="D13" s="37" t="s">
        <v>222</v>
      </c>
      <c r="E13" s="37"/>
    </row>
    <row r="14" ht="22.5" customHeight="1">
      <c r="A14" s="37" t="s">
        <v>22</v>
      </c>
      <c r="B14" s="37" t="s">
        <v>233</v>
      </c>
      <c r="C14" s="39">
        <v>136.0</v>
      </c>
      <c r="D14" s="37" t="s">
        <v>222</v>
      </c>
      <c r="E14" s="37"/>
    </row>
    <row r="15" ht="22.5" customHeight="1">
      <c r="A15" s="37" t="s">
        <v>25</v>
      </c>
      <c r="B15" s="37" t="s">
        <v>227</v>
      </c>
      <c r="C15" s="39">
        <v>102.0</v>
      </c>
      <c r="D15" s="44" t="s">
        <v>229</v>
      </c>
      <c r="E15" s="37"/>
    </row>
    <row r="16" ht="22.5" customHeight="1">
      <c r="A16" s="37" t="s">
        <v>27</v>
      </c>
      <c r="B16" s="37" t="s">
        <v>231</v>
      </c>
      <c r="C16" s="42">
        <v>119.7</v>
      </c>
      <c r="D16" s="37" t="s">
        <v>222</v>
      </c>
      <c r="E16" s="37"/>
    </row>
    <row r="17" ht="22.5" customHeight="1">
      <c r="A17" s="37" t="s">
        <v>238</v>
      </c>
      <c r="B17" s="37" t="s">
        <v>219</v>
      </c>
      <c r="C17" s="42">
        <v>140.7</v>
      </c>
      <c r="D17" s="37" t="s">
        <v>222</v>
      </c>
      <c r="E17" s="37"/>
    </row>
    <row r="18" ht="22.5" customHeight="1">
      <c r="A18" s="37" t="s">
        <v>32</v>
      </c>
      <c r="B18" s="37" t="s">
        <v>233</v>
      </c>
      <c r="C18" s="39">
        <v>65.0</v>
      </c>
      <c r="D18" s="44" t="s">
        <v>229</v>
      </c>
      <c r="E18" s="37"/>
    </row>
    <row r="19" ht="22.5" customHeight="1">
      <c r="A19" s="37" t="s">
        <v>34</v>
      </c>
      <c r="B19" s="37" t="s">
        <v>219</v>
      </c>
      <c r="C19" s="39">
        <v>65.8</v>
      </c>
      <c r="D19" s="37" t="s">
        <v>222</v>
      </c>
      <c r="E19" s="37"/>
    </row>
    <row r="20" ht="22.5" customHeight="1">
      <c r="A20" s="37" t="s">
        <v>242</v>
      </c>
      <c r="B20" s="37" t="s">
        <v>243</v>
      </c>
      <c r="C20" s="39">
        <v>30.7</v>
      </c>
      <c r="D20" s="37" t="s">
        <v>222</v>
      </c>
      <c r="E20" s="37"/>
    </row>
    <row r="21" ht="22.5" customHeight="1">
      <c r="A21" s="37" t="s">
        <v>39</v>
      </c>
      <c r="B21" s="37" t="s">
        <v>244</v>
      </c>
      <c r="C21" s="42">
        <v>182.4</v>
      </c>
      <c r="D21" s="37" t="s">
        <v>222</v>
      </c>
      <c r="E21" s="37"/>
    </row>
    <row r="22" ht="22.5" customHeight="1">
      <c r="A22" s="37" t="s">
        <v>41</v>
      </c>
      <c r="B22" s="37" t="s">
        <v>233</v>
      </c>
      <c r="C22" s="39">
        <v>45.0</v>
      </c>
      <c r="D22" s="37" t="s">
        <v>222</v>
      </c>
      <c r="E22" s="37"/>
    </row>
    <row r="23" ht="22.5" customHeight="1">
      <c r="A23" s="37" t="s">
        <v>43</v>
      </c>
      <c r="B23" s="37" t="s">
        <v>244</v>
      </c>
      <c r="C23" s="39">
        <v>86.334</v>
      </c>
      <c r="D23" s="44" t="s">
        <v>229</v>
      </c>
      <c r="E23" s="37"/>
    </row>
    <row r="24" ht="22.5" customHeight="1">
      <c r="A24" s="37" t="s">
        <v>45</v>
      </c>
      <c r="B24" s="37" t="s">
        <v>219</v>
      </c>
      <c r="C24" s="39">
        <v>53.25</v>
      </c>
      <c r="D24" s="44" t="s">
        <v>229</v>
      </c>
      <c r="E24" s="37"/>
    </row>
    <row r="25" ht="22.5" customHeight="1">
      <c r="A25" s="37" t="s">
        <v>46</v>
      </c>
      <c r="B25" s="37" t="s">
        <v>231</v>
      </c>
      <c r="C25" s="42">
        <v>150.3</v>
      </c>
      <c r="D25" s="37" t="s">
        <v>222</v>
      </c>
      <c r="E25" s="37"/>
    </row>
    <row r="26" ht="22.5" customHeight="1">
      <c r="A26" s="37" t="s">
        <v>48</v>
      </c>
      <c r="B26" s="37" t="s">
        <v>224</v>
      </c>
      <c r="C26" s="39">
        <v>50.33</v>
      </c>
      <c r="D26" s="44" t="s">
        <v>229</v>
      </c>
      <c r="E26" s="37"/>
    </row>
    <row r="27" ht="22.5" customHeight="1">
      <c r="A27" s="37" t="s">
        <v>52</v>
      </c>
      <c r="B27" s="37" t="s">
        <v>244</v>
      </c>
      <c r="C27" s="39">
        <v>77.083</v>
      </c>
      <c r="D27" s="44" t="s">
        <v>229</v>
      </c>
      <c r="E27" s="37"/>
    </row>
    <row r="28" ht="22.5" customHeight="1">
      <c r="A28" s="37" t="s">
        <v>57</v>
      </c>
      <c r="B28" s="37" t="s">
        <v>231</v>
      </c>
      <c r="C28" s="42">
        <v>151.2</v>
      </c>
      <c r="D28" s="37" t="s">
        <v>222</v>
      </c>
      <c r="E28" s="37"/>
    </row>
    <row r="29" ht="22.5" customHeight="1">
      <c r="A29" s="37" t="s">
        <v>61</v>
      </c>
      <c r="B29" s="37" t="s">
        <v>224</v>
      </c>
      <c r="C29" s="42">
        <v>72.8</v>
      </c>
      <c r="D29" s="37" t="s">
        <v>222</v>
      </c>
      <c r="E29" s="37"/>
    </row>
    <row r="30" ht="22.5" customHeight="1">
      <c r="A30" s="37" t="s">
        <v>64</v>
      </c>
      <c r="B30" s="37" t="s">
        <v>233</v>
      </c>
      <c r="C30" s="39">
        <v>74.8</v>
      </c>
      <c r="D30" s="37" t="s">
        <v>222</v>
      </c>
      <c r="E30" s="37"/>
    </row>
    <row r="31" ht="22.5" customHeight="1">
      <c r="A31" s="37" t="s">
        <v>67</v>
      </c>
      <c r="B31" s="37" t="s">
        <v>243</v>
      </c>
      <c r="C31" s="39">
        <v>56.5</v>
      </c>
      <c r="D31" s="37" t="s">
        <v>222</v>
      </c>
      <c r="E31" s="37"/>
    </row>
    <row r="32" ht="22.5" customHeight="1">
      <c r="A32" s="37" t="s">
        <v>70</v>
      </c>
      <c r="B32" s="37" t="s">
        <v>244</v>
      </c>
      <c r="C32" s="39">
        <v>86.334</v>
      </c>
      <c r="D32" s="44" t="s">
        <v>229</v>
      </c>
      <c r="E32" s="37"/>
    </row>
    <row r="33" ht="22.5" customHeight="1">
      <c r="A33" s="37" t="s">
        <v>71</v>
      </c>
      <c r="B33" s="37" t="s">
        <v>224</v>
      </c>
      <c r="C33" s="39">
        <v>50.33</v>
      </c>
      <c r="D33" s="44" t="s">
        <v>229</v>
      </c>
      <c r="E33" s="37"/>
    </row>
    <row r="34" ht="22.5" customHeight="1">
      <c r="A34" s="37" t="s">
        <v>73</v>
      </c>
      <c r="B34" s="37" t="s">
        <v>219</v>
      </c>
      <c r="C34" s="39">
        <v>132.4</v>
      </c>
      <c r="D34" s="37" t="s">
        <v>222</v>
      </c>
      <c r="E34" s="37"/>
    </row>
    <row r="35" ht="22.5" customHeight="1">
      <c r="A35" s="37" t="s">
        <v>75</v>
      </c>
      <c r="B35" s="37" t="s">
        <v>231</v>
      </c>
      <c r="C35" s="39">
        <v>85.25</v>
      </c>
      <c r="D35" s="44" t="s">
        <v>229</v>
      </c>
      <c r="E35" s="37"/>
    </row>
    <row r="36" ht="22.5" customHeight="1">
      <c r="A36" s="37" t="s">
        <v>77</v>
      </c>
      <c r="B36" s="37" t="s">
        <v>233</v>
      </c>
      <c r="C36" s="39">
        <v>85.4</v>
      </c>
      <c r="D36" s="37" t="s">
        <v>222</v>
      </c>
      <c r="E36" s="37"/>
    </row>
    <row r="37" ht="22.5" customHeight="1">
      <c r="A37" s="37" t="s">
        <v>79</v>
      </c>
      <c r="B37" s="37" t="s">
        <v>231</v>
      </c>
      <c r="C37" s="39">
        <v>67.25</v>
      </c>
      <c r="D37" s="44" t="s">
        <v>229</v>
      </c>
      <c r="E37" s="37"/>
    </row>
    <row r="38" ht="22.5" customHeight="1">
      <c r="A38" s="37" t="s">
        <v>81</v>
      </c>
      <c r="B38" s="37" t="s">
        <v>224</v>
      </c>
      <c r="C38" s="42">
        <v>73.5</v>
      </c>
      <c r="D38" s="37" t="s">
        <v>222</v>
      </c>
      <c r="E38" s="37"/>
    </row>
    <row r="39" ht="22.5" customHeight="1">
      <c r="A39" s="37" t="s">
        <v>252</v>
      </c>
      <c r="B39" s="37" t="s">
        <v>231</v>
      </c>
      <c r="C39" s="42">
        <v>165.6</v>
      </c>
      <c r="D39" s="37" t="s">
        <v>222</v>
      </c>
      <c r="E39" s="37"/>
    </row>
    <row r="40" ht="22.5" customHeight="1">
      <c r="A40" s="37" t="s">
        <v>85</v>
      </c>
      <c r="B40" s="37" t="s">
        <v>244</v>
      </c>
      <c r="C40" s="42">
        <v>161.5</v>
      </c>
      <c r="D40" s="37" t="s">
        <v>222</v>
      </c>
      <c r="E40" s="37"/>
    </row>
    <row r="41" ht="22.5" customHeight="1">
      <c r="A41" s="37" t="s">
        <v>88</v>
      </c>
      <c r="B41" s="37" t="s">
        <v>219</v>
      </c>
      <c r="C41" s="39">
        <v>91.8</v>
      </c>
      <c r="D41" s="37" t="s">
        <v>222</v>
      </c>
      <c r="E41" s="37"/>
    </row>
    <row r="42" ht="22.5" customHeight="1">
      <c r="A42" s="37" t="s">
        <v>90</v>
      </c>
      <c r="B42" s="37" t="s">
        <v>253</v>
      </c>
      <c r="C42" s="39">
        <v>96.2</v>
      </c>
      <c r="D42" s="37" t="s">
        <v>222</v>
      </c>
      <c r="E42" s="37"/>
    </row>
    <row r="43" ht="22.5" customHeight="1">
      <c r="A43" s="37" t="s">
        <v>93</v>
      </c>
      <c r="B43" s="37" t="s">
        <v>227</v>
      </c>
      <c r="C43" s="39">
        <v>77.083</v>
      </c>
      <c r="D43" s="44" t="s">
        <v>229</v>
      </c>
      <c r="E43" s="37"/>
    </row>
    <row r="44" ht="22.5" customHeight="1">
      <c r="A44" s="37" t="s">
        <v>95</v>
      </c>
      <c r="B44" s="37" t="s">
        <v>233</v>
      </c>
      <c r="C44" s="39">
        <v>25.8</v>
      </c>
      <c r="D44" s="37" t="s">
        <v>222</v>
      </c>
      <c r="E44" s="37"/>
    </row>
    <row r="45" ht="22.5" customHeight="1">
      <c r="A45" s="37" t="s">
        <v>97</v>
      </c>
      <c r="B45" s="37" t="s">
        <v>219</v>
      </c>
      <c r="C45" s="39">
        <v>53.25</v>
      </c>
      <c r="D45" s="44" t="s">
        <v>229</v>
      </c>
      <c r="E45" s="37"/>
    </row>
    <row r="46" ht="22.5" customHeight="1">
      <c r="A46" s="37" t="s">
        <v>100</v>
      </c>
      <c r="B46" s="37" t="s">
        <v>233</v>
      </c>
      <c r="C46" s="39">
        <v>106.0</v>
      </c>
      <c r="D46" s="37" t="s">
        <v>222</v>
      </c>
      <c r="E46" s="37"/>
    </row>
    <row r="47" ht="22.5" customHeight="1">
      <c r="A47" s="37" t="s">
        <v>102</v>
      </c>
      <c r="B47" s="37" t="s">
        <v>227</v>
      </c>
      <c r="C47" s="39">
        <v>86.333</v>
      </c>
      <c r="D47" s="44" t="s">
        <v>229</v>
      </c>
      <c r="E47" s="37"/>
    </row>
    <row r="48" ht="22.5" customHeight="1">
      <c r="A48" s="37" t="s">
        <v>104</v>
      </c>
      <c r="B48" s="37" t="s">
        <v>233</v>
      </c>
      <c r="C48" s="39">
        <v>64.4167</v>
      </c>
      <c r="D48" s="44" t="s">
        <v>229</v>
      </c>
      <c r="E48" s="37"/>
    </row>
    <row r="49" ht="22.5" customHeight="1">
      <c r="A49" s="37" t="s">
        <v>254</v>
      </c>
      <c r="B49" s="37" t="s">
        <v>243</v>
      </c>
      <c r="C49" s="39">
        <v>47.0</v>
      </c>
      <c r="D49" s="37" t="s">
        <v>222</v>
      </c>
      <c r="E49" s="37"/>
    </row>
    <row r="50" ht="22.5" customHeight="1">
      <c r="A50" s="37" t="s">
        <v>108</v>
      </c>
      <c r="B50" s="37" t="s">
        <v>219</v>
      </c>
      <c r="C50" s="39">
        <v>70.0834</v>
      </c>
      <c r="D50" s="44" t="s">
        <v>229</v>
      </c>
      <c r="E50" s="37"/>
    </row>
    <row r="51" ht="22.5" customHeight="1">
      <c r="A51" s="37" t="s">
        <v>255</v>
      </c>
      <c r="B51" s="37" t="s">
        <v>233</v>
      </c>
      <c r="C51" s="39">
        <v>44.1</v>
      </c>
      <c r="D51" s="37" t="s">
        <v>222</v>
      </c>
      <c r="E51" s="37"/>
    </row>
    <row r="52" ht="22.5" customHeight="1">
      <c r="A52" s="37" t="s">
        <v>256</v>
      </c>
      <c r="B52" s="37" t="s">
        <v>243</v>
      </c>
      <c r="C52" s="39">
        <v>56.7</v>
      </c>
      <c r="D52" s="37" t="s">
        <v>222</v>
      </c>
      <c r="E52" s="37"/>
    </row>
    <row r="53" ht="22.5" customHeight="1">
      <c r="A53" s="37" t="s">
        <v>257</v>
      </c>
      <c r="B53" s="37" t="s">
        <v>227</v>
      </c>
      <c r="C53" s="39">
        <v>77.083</v>
      </c>
      <c r="D53" s="44" t="s">
        <v>229</v>
      </c>
      <c r="E53" s="37"/>
    </row>
    <row r="54" ht="22.5" customHeight="1">
      <c r="A54" s="37" t="s">
        <v>258</v>
      </c>
      <c r="B54" s="37" t="s">
        <v>243</v>
      </c>
      <c r="C54" s="39">
        <v>83.3</v>
      </c>
      <c r="D54" s="37" t="s">
        <v>222</v>
      </c>
      <c r="E54" s="37"/>
    </row>
    <row r="55" ht="22.5" customHeight="1">
      <c r="A55" s="37" t="s">
        <v>110</v>
      </c>
      <c r="B55" s="37" t="s">
        <v>219</v>
      </c>
      <c r="C55" s="39">
        <v>130.7</v>
      </c>
      <c r="D55" s="37" t="s">
        <v>222</v>
      </c>
      <c r="E55" s="37"/>
    </row>
    <row r="56" ht="22.5" customHeight="1">
      <c r="A56" s="37" t="s">
        <v>117</v>
      </c>
      <c r="B56" s="37" t="s">
        <v>224</v>
      </c>
      <c r="C56" s="42">
        <v>96.6</v>
      </c>
      <c r="D56" s="37" t="s">
        <v>222</v>
      </c>
      <c r="E56" s="37"/>
    </row>
    <row r="57" ht="22.5" customHeight="1">
      <c r="A57" s="37" t="s">
        <v>124</v>
      </c>
      <c r="B57" s="37" t="s">
        <v>219</v>
      </c>
      <c r="C57" s="39">
        <v>68.6667</v>
      </c>
      <c r="D57" s="44" t="s">
        <v>229</v>
      </c>
      <c r="E57" s="37"/>
    </row>
    <row r="58" ht="22.5" customHeight="1">
      <c r="A58" s="37" t="s">
        <v>126</v>
      </c>
      <c r="B58" s="37" t="s">
        <v>233</v>
      </c>
      <c r="C58" s="39">
        <v>65.3</v>
      </c>
      <c r="D58" s="37" t="s">
        <v>222</v>
      </c>
      <c r="E58" s="37"/>
    </row>
    <row r="59" ht="22.5" customHeight="1">
      <c r="A59" s="37" t="s">
        <v>129</v>
      </c>
      <c r="B59" s="37" t="s">
        <v>231</v>
      </c>
      <c r="C59" s="42">
        <v>114.3</v>
      </c>
      <c r="D59" s="37" t="s">
        <v>222</v>
      </c>
      <c r="E59" s="37"/>
    </row>
    <row r="60" ht="22.5" customHeight="1">
      <c r="A60" s="37" t="s">
        <v>130</v>
      </c>
      <c r="B60" s="37" t="s">
        <v>233</v>
      </c>
      <c r="C60" s="39">
        <v>47.3</v>
      </c>
      <c r="D60" s="37" t="s">
        <v>222</v>
      </c>
      <c r="E60" s="37"/>
    </row>
    <row r="61" ht="22.5" customHeight="1">
      <c r="A61" s="37" t="s">
        <v>132</v>
      </c>
      <c r="B61" s="37" t="s">
        <v>244</v>
      </c>
      <c r="C61" s="39">
        <v>86.334</v>
      </c>
      <c r="D61" s="44" t="s">
        <v>229</v>
      </c>
      <c r="E61" s="37"/>
    </row>
    <row r="62" ht="22.5" customHeight="1">
      <c r="A62" s="37" t="s">
        <v>133</v>
      </c>
      <c r="B62" s="37" t="s">
        <v>243</v>
      </c>
      <c r="C62" s="39">
        <v>21.7</v>
      </c>
      <c r="D62" s="37" t="s">
        <v>222</v>
      </c>
      <c r="E62" s="37"/>
    </row>
    <row r="63" ht="22.5" customHeight="1">
      <c r="A63" s="37" t="s">
        <v>135</v>
      </c>
      <c r="B63" s="37" t="s">
        <v>253</v>
      </c>
      <c r="C63" s="39">
        <v>46.2</v>
      </c>
      <c r="D63" s="37" t="s">
        <v>222</v>
      </c>
      <c r="E63" s="37"/>
    </row>
    <row r="64" ht="22.5" customHeight="1">
      <c r="A64" s="37" t="s">
        <v>138</v>
      </c>
      <c r="B64" s="37" t="s">
        <v>243</v>
      </c>
      <c r="C64" s="39">
        <v>37.8</v>
      </c>
      <c r="D64" s="37" t="s">
        <v>222</v>
      </c>
      <c r="E64" s="37"/>
    </row>
    <row r="65" ht="22.5" customHeight="1">
      <c r="A65" s="37" t="s">
        <v>140</v>
      </c>
      <c r="B65" s="37" t="s">
        <v>219</v>
      </c>
      <c r="C65" s="39">
        <v>70.2</v>
      </c>
      <c r="D65" s="37" t="s">
        <v>222</v>
      </c>
      <c r="E65" s="37"/>
    </row>
    <row r="66" ht="22.5" customHeight="1">
      <c r="A66" s="37" t="s">
        <v>142</v>
      </c>
      <c r="B66" s="37" t="s">
        <v>253</v>
      </c>
      <c r="C66" s="39">
        <v>102.8</v>
      </c>
      <c r="D66" s="37" t="s">
        <v>222</v>
      </c>
      <c r="E66" s="37"/>
    </row>
    <row r="67" ht="22.5" customHeight="1">
      <c r="A67" s="37" t="s">
        <v>145</v>
      </c>
      <c r="B67" s="37" t="s">
        <v>227</v>
      </c>
      <c r="C67" s="39">
        <v>77.083</v>
      </c>
      <c r="D67" s="44" t="s">
        <v>229</v>
      </c>
      <c r="E67" s="37"/>
    </row>
    <row r="68" ht="22.5" customHeight="1">
      <c r="A68" s="37" t="s">
        <v>146</v>
      </c>
      <c r="B68" s="37" t="s">
        <v>233</v>
      </c>
      <c r="C68" s="39">
        <v>59.1</v>
      </c>
      <c r="D68" s="37" t="s">
        <v>222</v>
      </c>
      <c r="E68" s="37"/>
    </row>
    <row r="69" ht="22.5" customHeight="1">
      <c r="A69" s="37" t="s">
        <v>149</v>
      </c>
      <c r="B69" s="37" t="s">
        <v>244</v>
      </c>
      <c r="C69" s="39">
        <v>86.334</v>
      </c>
      <c r="D69" s="44" t="s">
        <v>229</v>
      </c>
      <c r="E69" s="37"/>
    </row>
    <row r="70" ht="22.5" customHeight="1">
      <c r="A70" s="37" t="s">
        <v>150</v>
      </c>
      <c r="B70" s="37" t="s">
        <v>231</v>
      </c>
      <c r="C70" s="42">
        <v>132.9</v>
      </c>
      <c r="D70" s="37" t="s">
        <v>222</v>
      </c>
      <c r="E70" s="37"/>
    </row>
    <row r="71" ht="22.5" customHeight="1">
      <c r="A71" s="37" t="s">
        <v>152</v>
      </c>
      <c r="B71" s="37" t="s">
        <v>231</v>
      </c>
      <c r="C71" s="39">
        <v>78.25</v>
      </c>
      <c r="D71" s="44" t="s">
        <v>229</v>
      </c>
      <c r="E71" s="37"/>
    </row>
    <row r="72" ht="22.5" customHeight="1">
      <c r="A72" s="37" t="s">
        <v>154</v>
      </c>
      <c r="B72" s="37" t="s">
        <v>244</v>
      </c>
      <c r="C72" s="39">
        <v>77.083</v>
      </c>
      <c r="D72" s="44" t="s">
        <v>229</v>
      </c>
      <c r="E72" s="37"/>
    </row>
    <row r="73" ht="22.5" customHeight="1">
      <c r="A73" s="37" t="s">
        <v>259</v>
      </c>
      <c r="B73" s="37" t="s">
        <v>219</v>
      </c>
      <c r="C73" s="39">
        <v>113.5</v>
      </c>
      <c r="D73" s="37" t="s">
        <v>222</v>
      </c>
      <c r="E73" s="37"/>
    </row>
    <row r="74" ht="22.5" customHeight="1">
      <c r="A74" s="37" t="s">
        <v>158</v>
      </c>
      <c r="B74" s="37" t="s">
        <v>227</v>
      </c>
      <c r="C74" s="39">
        <v>86.334</v>
      </c>
      <c r="D74" s="44" t="s">
        <v>229</v>
      </c>
      <c r="E74" s="37"/>
    </row>
    <row r="75" ht="22.5" customHeight="1">
      <c r="A75" s="37" t="s">
        <v>160</v>
      </c>
      <c r="B75" s="37" t="s">
        <v>227</v>
      </c>
      <c r="C75" s="39">
        <v>95.4167</v>
      </c>
      <c r="D75" s="44" t="s">
        <v>229</v>
      </c>
      <c r="E75" s="37"/>
    </row>
    <row r="76" ht="22.5" customHeight="1">
      <c r="A76" s="37" t="s">
        <v>162</v>
      </c>
      <c r="B76" s="37" t="s">
        <v>233</v>
      </c>
      <c r="C76" s="39">
        <v>65.0</v>
      </c>
      <c r="D76" s="44" t="s">
        <v>229</v>
      </c>
      <c r="E76" s="37"/>
    </row>
    <row r="77" ht="22.5" customHeight="1">
      <c r="A77" s="37" t="s">
        <v>165</v>
      </c>
      <c r="B77" s="37" t="s">
        <v>219</v>
      </c>
      <c r="C77" s="39">
        <v>53.25</v>
      </c>
      <c r="D77" s="44" t="s">
        <v>229</v>
      </c>
      <c r="E77" s="37"/>
    </row>
    <row r="78" ht="22.5" customHeight="1">
      <c r="A78" s="37" t="s">
        <v>167</v>
      </c>
      <c r="B78" s="37" t="s">
        <v>233</v>
      </c>
      <c r="C78" s="39">
        <v>58.2</v>
      </c>
      <c r="D78" s="37" t="s">
        <v>222</v>
      </c>
      <c r="E78" s="37"/>
    </row>
    <row r="79" ht="22.5" customHeight="1">
      <c r="A79" s="37" t="s">
        <v>169</v>
      </c>
      <c r="B79" s="37" t="s">
        <v>253</v>
      </c>
      <c r="C79" s="39">
        <v>88.6</v>
      </c>
      <c r="D79" s="37" t="s">
        <v>222</v>
      </c>
      <c r="E79" s="37"/>
    </row>
    <row r="80" ht="22.5" customHeight="1">
      <c r="A80" s="37" t="s">
        <v>172</v>
      </c>
      <c r="B80" s="37" t="s">
        <v>244</v>
      </c>
      <c r="C80" s="39">
        <v>70.083</v>
      </c>
      <c r="D80" s="44" t="s">
        <v>229</v>
      </c>
      <c r="E80" s="37"/>
    </row>
    <row r="81" ht="22.5" customHeight="1">
      <c r="A81" s="37" t="s">
        <v>173</v>
      </c>
      <c r="B81" s="37" t="s">
        <v>219</v>
      </c>
      <c r="C81" s="39">
        <v>53.25</v>
      </c>
      <c r="D81" s="44" t="s">
        <v>229</v>
      </c>
      <c r="E81" s="37"/>
    </row>
    <row r="82" ht="22.5" customHeight="1">
      <c r="A82" s="37" t="s">
        <v>176</v>
      </c>
      <c r="B82" s="37" t="s">
        <v>253</v>
      </c>
      <c r="C82" s="39">
        <v>68.2</v>
      </c>
      <c r="D82" s="37" t="s">
        <v>222</v>
      </c>
      <c r="E82" s="37"/>
    </row>
    <row r="83" ht="22.5" customHeight="1">
      <c r="A83" s="37" t="s">
        <v>178</v>
      </c>
      <c r="B83" s="37" t="s">
        <v>231</v>
      </c>
      <c r="C83" s="39">
        <v>67.25</v>
      </c>
      <c r="D83" s="44" t="s">
        <v>229</v>
      </c>
      <c r="E83" s="37"/>
    </row>
    <row r="84" ht="22.5" customHeight="1">
      <c r="A84" s="37" t="s">
        <v>181</v>
      </c>
      <c r="B84" s="37" t="s">
        <v>231</v>
      </c>
      <c r="C84" s="42">
        <v>139.6</v>
      </c>
      <c r="D84" s="37" t="s">
        <v>222</v>
      </c>
      <c r="E84" s="37"/>
    </row>
  </sheetData>
  <hyperlinks>
    <hyperlink r:id="rId1" ref="B5"/>
    <hyperlink r:id="rId2" ref="B6"/>
    <hyperlink r:id="rId3" ref="B7"/>
  </hyperlinks>
  <drawing r:id="rId4"/>
  <tableParts count="1"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</v>
      </c>
      <c r="B1" s="32" t="s">
        <v>205</v>
      </c>
      <c r="C1" s="17" t="s">
        <v>207</v>
      </c>
      <c r="D1" s="17" t="s">
        <v>208</v>
      </c>
      <c r="E1" s="17" t="s">
        <v>210</v>
      </c>
      <c r="G1" s="34"/>
    </row>
    <row r="2">
      <c r="A2" s="28" t="s">
        <v>212</v>
      </c>
      <c r="B2" s="35">
        <v>9.0</v>
      </c>
      <c r="C2" s="38">
        <f>2202</f>
        <v>2202</v>
      </c>
      <c r="D2" s="40">
        <f t="shared" ref="D2:D76" si="1">C2/$G$3</f>
        <v>2.202</v>
      </c>
      <c r="E2" s="40">
        <f t="shared" ref="E2:E76" si="2">B2/D2</f>
        <v>4.08719346</v>
      </c>
      <c r="G2" s="34" t="s">
        <v>225</v>
      </c>
    </row>
    <row r="3">
      <c r="A3" s="28" t="s">
        <v>17</v>
      </c>
      <c r="B3" s="35">
        <v>23.0</v>
      </c>
      <c r="C3" s="43">
        <f>20556</f>
        <v>20556</v>
      </c>
      <c r="D3" s="40">
        <f t="shared" si="1"/>
        <v>20.556</v>
      </c>
      <c r="E3" s="40">
        <f t="shared" si="2"/>
        <v>1.118894727</v>
      </c>
      <c r="G3" s="17">
        <v>1000.0</v>
      </c>
    </row>
    <row r="4">
      <c r="A4" s="28" t="s">
        <v>19</v>
      </c>
      <c r="B4" s="35">
        <v>3552.0</v>
      </c>
      <c r="C4" s="38">
        <v>630932.0</v>
      </c>
      <c r="D4" s="40">
        <f t="shared" si="1"/>
        <v>630.932</v>
      </c>
      <c r="E4" s="40">
        <f t="shared" si="2"/>
        <v>5.629766758</v>
      </c>
    </row>
    <row r="5">
      <c r="A5" s="28" t="s">
        <v>21</v>
      </c>
      <c r="B5" s="35">
        <v>15.0</v>
      </c>
      <c r="C5" s="43">
        <v>10464.0</v>
      </c>
      <c r="D5" s="40">
        <f t="shared" si="1"/>
        <v>10.464</v>
      </c>
      <c r="E5" s="40">
        <f t="shared" si="2"/>
        <v>1.433486239</v>
      </c>
      <c r="G5" s="23" t="s">
        <v>234</v>
      </c>
    </row>
    <row r="6">
      <c r="A6" s="28" t="s">
        <v>24</v>
      </c>
      <c r="B6" s="35">
        <v>23.0</v>
      </c>
      <c r="C6" s="38">
        <v>18626.0</v>
      </c>
      <c r="D6" s="40">
        <f t="shared" si="1"/>
        <v>18.626</v>
      </c>
      <c r="E6" s="40">
        <f t="shared" si="2"/>
        <v>1.234833029</v>
      </c>
    </row>
    <row r="7">
      <c r="A7" s="28" t="s">
        <v>28</v>
      </c>
      <c r="B7" s="35">
        <v>39.0</v>
      </c>
      <c r="C7" s="43">
        <v>45175.0</v>
      </c>
      <c r="D7" s="40">
        <f t="shared" si="1"/>
        <v>45.175</v>
      </c>
      <c r="E7" s="40">
        <f t="shared" si="2"/>
        <v>0.8633093525</v>
      </c>
    </row>
    <row r="8">
      <c r="A8" s="28" t="s">
        <v>31</v>
      </c>
      <c r="B8" s="35">
        <v>33.0</v>
      </c>
      <c r="C8" s="38">
        <v>25007.0</v>
      </c>
      <c r="D8" s="40">
        <f t="shared" si="1"/>
        <v>25.007</v>
      </c>
      <c r="E8" s="40">
        <f t="shared" si="2"/>
        <v>1.319630503</v>
      </c>
    </row>
    <row r="9">
      <c r="A9" s="28" t="s">
        <v>35</v>
      </c>
      <c r="B9" s="35">
        <v>5.0</v>
      </c>
      <c r="C9" s="43">
        <v>8025.0</v>
      </c>
      <c r="D9" s="40">
        <f t="shared" si="1"/>
        <v>8.025</v>
      </c>
      <c r="E9" s="40">
        <f t="shared" si="2"/>
        <v>0.6230529595</v>
      </c>
    </row>
    <row r="10">
      <c r="A10" s="28" t="s">
        <v>38</v>
      </c>
      <c r="B10" s="35">
        <v>26.0</v>
      </c>
      <c r="C10" s="38">
        <v>18719.0</v>
      </c>
      <c r="D10" s="40">
        <f t="shared" si="1"/>
        <v>18.719</v>
      </c>
      <c r="E10" s="40">
        <f t="shared" si="2"/>
        <v>1.388963086</v>
      </c>
    </row>
    <row r="11">
      <c r="A11" s="28" t="s">
        <v>42</v>
      </c>
      <c r="B11" s="35">
        <v>11.0</v>
      </c>
      <c r="C11" s="43">
        <v>3850.0</v>
      </c>
      <c r="D11" s="40">
        <f t="shared" si="1"/>
        <v>3.85</v>
      </c>
      <c r="E11" s="40">
        <f t="shared" si="2"/>
        <v>2.857142857</v>
      </c>
    </row>
    <row r="12">
      <c r="A12" s="28" t="s">
        <v>44</v>
      </c>
      <c r="B12" s="35">
        <v>28.0</v>
      </c>
      <c r="C12" s="38">
        <v>33641.0</v>
      </c>
      <c r="D12" s="40">
        <f t="shared" si="1"/>
        <v>33.641</v>
      </c>
      <c r="E12" s="40">
        <f t="shared" si="2"/>
        <v>0.8323177076</v>
      </c>
    </row>
    <row r="13">
      <c r="A13" s="28" t="s">
        <v>47</v>
      </c>
      <c r="B13" s="35">
        <v>34.0</v>
      </c>
      <c r="C13" s="43">
        <v>32783.0</v>
      </c>
      <c r="D13" s="40">
        <f t="shared" si="1"/>
        <v>32.783</v>
      </c>
      <c r="E13" s="40">
        <f t="shared" si="2"/>
        <v>1.037122899</v>
      </c>
    </row>
    <row r="14">
      <c r="A14" s="28" t="s">
        <v>51</v>
      </c>
      <c r="B14" s="35">
        <v>21.0</v>
      </c>
      <c r="C14" s="38">
        <v>20314.0</v>
      </c>
      <c r="D14" s="40">
        <f t="shared" si="1"/>
        <v>20.314</v>
      </c>
      <c r="E14" s="40">
        <f t="shared" si="2"/>
        <v>1.033769814</v>
      </c>
    </row>
    <row r="15">
      <c r="A15" s="28" t="s">
        <v>54</v>
      </c>
      <c r="B15" s="35">
        <v>20.0</v>
      </c>
      <c r="C15" s="43">
        <v>14203.0</v>
      </c>
      <c r="D15" s="40">
        <f t="shared" si="1"/>
        <v>14.203</v>
      </c>
      <c r="E15" s="40">
        <f t="shared" si="2"/>
        <v>1.408153207</v>
      </c>
    </row>
    <row r="16">
      <c r="A16" s="28" t="s">
        <v>58</v>
      </c>
      <c r="B16" s="35">
        <v>12.0</v>
      </c>
      <c r="C16" s="38">
        <v>5474.0</v>
      </c>
      <c r="D16" s="40">
        <f t="shared" si="1"/>
        <v>5.474</v>
      </c>
      <c r="E16" s="40">
        <f t="shared" si="2"/>
        <v>2.19218122</v>
      </c>
    </row>
    <row r="17">
      <c r="A17" s="28" t="s">
        <v>62</v>
      </c>
      <c r="B17" s="35">
        <v>20.0</v>
      </c>
      <c r="C17" s="43">
        <v>17594.0</v>
      </c>
      <c r="D17" s="40">
        <f t="shared" si="1"/>
        <v>17.594</v>
      </c>
      <c r="E17" s="40">
        <f t="shared" si="2"/>
        <v>1.136751165</v>
      </c>
    </row>
    <row r="18">
      <c r="A18" s="28" t="s">
        <v>65</v>
      </c>
      <c r="B18" s="35">
        <v>8.0</v>
      </c>
      <c r="C18" s="38">
        <v>3872.0</v>
      </c>
      <c r="D18" s="40">
        <f t="shared" si="1"/>
        <v>3.872</v>
      </c>
      <c r="E18" s="40">
        <f t="shared" si="2"/>
        <v>2.066115702</v>
      </c>
    </row>
    <row r="19">
      <c r="A19" s="28" t="s">
        <v>69</v>
      </c>
      <c r="B19" s="35">
        <v>9.0</v>
      </c>
      <c r="C19" s="43">
        <v>4436.0</v>
      </c>
      <c r="D19" s="40">
        <f t="shared" si="1"/>
        <v>4.436</v>
      </c>
      <c r="E19" s="40">
        <f t="shared" si="2"/>
        <v>2.028854824</v>
      </c>
    </row>
    <row r="20">
      <c r="A20" s="28" t="s">
        <v>72</v>
      </c>
      <c r="B20" s="35">
        <v>92.0</v>
      </c>
      <c r="C20" s="38">
        <v>67060.0</v>
      </c>
      <c r="D20" s="40">
        <f t="shared" si="1"/>
        <v>67.06</v>
      </c>
      <c r="E20" s="40">
        <f t="shared" si="2"/>
        <v>1.371905756</v>
      </c>
    </row>
    <row r="21">
      <c r="A21" s="28" t="s">
        <v>74</v>
      </c>
      <c r="B21" s="35">
        <v>9.0</v>
      </c>
      <c r="C21" s="43">
        <v>6358.0</v>
      </c>
      <c r="D21" s="40">
        <f t="shared" si="1"/>
        <v>6.358</v>
      </c>
      <c r="E21" s="40">
        <f t="shared" si="2"/>
        <v>1.415539478</v>
      </c>
    </row>
    <row r="22">
      <c r="A22" s="28" t="s">
        <v>78</v>
      </c>
      <c r="B22" s="35">
        <v>14.0</v>
      </c>
      <c r="C22" s="38">
        <v>14921.0</v>
      </c>
      <c r="D22" s="40">
        <f t="shared" si="1"/>
        <v>14.921</v>
      </c>
      <c r="E22" s="40">
        <f t="shared" si="2"/>
        <v>0.9382749145</v>
      </c>
    </row>
    <row r="23">
      <c r="A23" s="28" t="s">
        <v>80</v>
      </c>
      <c r="B23" s="35">
        <v>10.0</v>
      </c>
      <c r="C23" s="43">
        <v>11294.0</v>
      </c>
      <c r="D23" s="40">
        <f t="shared" si="1"/>
        <v>11.294</v>
      </c>
      <c r="E23" s="40">
        <f t="shared" si="2"/>
        <v>0.8854258899</v>
      </c>
    </row>
    <row r="24">
      <c r="A24" s="28" t="s">
        <v>83</v>
      </c>
      <c r="B24" s="35">
        <v>5.0</v>
      </c>
      <c r="C24" s="38">
        <v>3118.0</v>
      </c>
      <c r="D24" s="40">
        <f t="shared" si="1"/>
        <v>3.118</v>
      </c>
      <c r="E24" s="40">
        <f t="shared" si="2"/>
        <v>1.603592046</v>
      </c>
    </row>
    <row r="25">
      <c r="A25" s="28" t="s">
        <v>86</v>
      </c>
      <c r="B25" s="35">
        <v>9.0</v>
      </c>
      <c r="C25" s="43">
        <v>5910.0</v>
      </c>
      <c r="D25" s="40">
        <f t="shared" si="1"/>
        <v>5.91</v>
      </c>
      <c r="E25" s="40">
        <f t="shared" si="2"/>
        <v>1.52284264</v>
      </c>
    </row>
    <row r="26">
      <c r="A26" s="28" t="s">
        <v>89</v>
      </c>
      <c r="B26" s="35">
        <v>8.0</v>
      </c>
      <c r="C26" s="38">
        <v>8499.0</v>
      </c>
      <c r="D26" s="40">
        <f t="shared" si="1"/>
        <v>8.499</v>
      </c>
      <c r="E26" s="40">
        <f t="shared" si="2"/>
        <v>0.9412872103</v>
      </c>
    </row>
    <row r="27">
      <c r="A27" s="28" t="s">
        <v>92</v>
      </c>
      <c r="B27" s="35">
        <v>23.0</v>
      </c>
      <c r="C27" s="43">
        <v>16991.0</v>
      </c>
      <c r="D27" s="40">
        <f t="shared" si="1"/>
        <v>16.991</v>
      </c>
      <c r="E27" s="40">
        <f t="shared" si="2"/>
        <v>1.353657819</v>
      </c>
    </row>
    <row r="28">
      <c r="A28" s="28" t="s">
        <v>96</v>
      </c>
      <c r="B28" s="35">
        <v>209.0</v>
      </c>
      <c r="C28" s="38">
        <v>109250.0</v>
      </c>
      <c r="D28" s="40">
        <f t="shared" si="1"/>
        <v>109.25</v>
      </c>
      <c r="E28" s="40">
        <f t="shared" si="2"/>
        <v>1.913043478</v>
      </c>
    </row>
    <row r="29">
      <c r="A29" s="28" t="s">
        <v>99</v>
      </c>
      <c r="B29" s="35">
        <v>39.0</v>
      </c>
      <c r="C29" s="43">
        <v>42230.0</v>
      </c>
      <c r="D29" s="40">
        <f t="shared" si="1"/>
        <v>42.23</v>
      </c>
      <c r="E29" s="40">
        <f t="shared" si="2"/>
        <v>0.9235140895</v>
      </c>
    </row>
    <row r="30">
      <c r="A30" s="28" t="s">
        <v>103</v>
      </c>
      <c r="B30" s="35">
        <v>8.0</v>
      </c>
      <c r="C30" s="38">
        <v>4746.0</v>
      </c>
      <c r="D30" s="40">
        <f t="shared" si="1"/>
        <v>4.746</v>
      </c>
      <c r="E30" s="40">
        <f t="shared" si="2"/>
        <v>1.685630004</v>
      </c>
    </row>
    <row r="31">
      <c r="A31" s="28" t="s">
        <v>105</v>
      </c>
      <c r="B31" s="35">
        <v>54.0</v>
      </c>
      <c r="C31" s="43">
        <v>36074.0</v>
      </c>
      <c r="D31" s="40">
        <f t="shared" si="1"/>
        <v>36.074</v>
      </c>
      <c r="E31" s="40">
        <f t="shared" si="2"/>
        <v>1.496922992</v>
      </c>
    </row>
    <row r="32">
      <c r="A32" s="28" t="s">
        <v>109</v>
      </c>
      <c r="B32" s="35">
        <v>30.0</v>
      </c>
      <c r="C32" s="38">
        <v>16451.0</v>
      </c>
      <c r="D32" s="40">
        <f t="shared" si="1"/>
        <v>16.451</v>
      </c>
      <c r="E32" s="40">
        <f t="shared" si="2"/>
        <v>1.82359735</v>
      </c>
    </row>
    <row r="33">
      <c r="A33" s="28" t="s">
        <v>112</v>
      </c>
      <c r="B33" s="35">
        <v>16.0</v>
      </c>
      <c r="C33" s="43">
        <v>13723.0</v>
      </c>
      <c r="D33" s="40">
        <f t="shared" si="1"/>
        <v>13.723</v>
      </c>
      <c r="E33" s="40">
        <f t="shared" si="2"/>
        <v>1.165925818</v>
      </c>
    </row>
    <row r="34">
      <c r="A34" s="28" t="s">
        <v>114</v>
      </c>
      <c r="B34" s="35">
        <v>164.0</v>
      </c>
      <c r="C34" s="38">
        <v>105957.0</v>
      </c>
      <c r="D34" s="40">
        <f t="shared" si="1"/>
        <v>105.957</v>
      </c>
      <c r="E34" s="40">
        <f t="shared" si="2"/>
        <v>1.547797692</v>
      </c>
    </row>
    <row r="35">
      <c r="A35" s="28" t="s">
        <v>118</v>
      </c>
      <c r="B35" s="35">
        <v>26.0</v>
      </c>
      <c r="C35" s="43">
        <v>24047.0</v>
      </c>
      <c r="D35" s="40">
        <f t="shared" si="1"/>
        <v>24.047</v>
      </c>
      <c r="E35" s="40">
        <f t="shared" si="2"/>
        <v>1.081215952</v>
      </c>
    </row>
    <row r="36">
      <c r="A36" s="28" t="s">
        <v>121</v>
      </c>
      <c r="B36" s="35">
        <v>12.0</v>
      </c>
      <c r="C36" s="38">
        <v>7048.0</v>
      </c>
      <c r="D36" s="40">
        <f t="shared" si="1"/>
        <v>7.048</v>
      </c>
      <c r="E36" s="40">
        <f t="shared" si="2"/>
        <v>1.70261067</v>
      </c>
    </row>
    <row r="37">
      <c r="A37" s="28" t="s">
        <v>125</v>
      </c>
      <c r="B37" s="35">
        <v>9.0</v>
      </c>
      <c r="C37" s="43">
        <v>3674.0</v>
      </c>
      <c r="D37" s="40">
        <f t="shared" si="1"/>
        <v>3.674</v>
      </c>
      <c r="E37" s="40">
        <f t="shared" si="2"/>
        <v>2.449646162</v>
      </c>
    </row>
    <row r="38">
      <c r="A38" s="28" t="s">
        <v>128</v>
      </c>
      <c r="B38" s="35">
        <v>12.0</v>
      </c>
      <c r="C38" s="38">
        <v>11712.0</v>
      </c>
      <c r="D38" s="40">
        <f t="shared" si="1"/>
        <v>11.712</v>
      </c>
      <c r="E38" s="40">
        <f t="shared" si="2"/>
        <v>1.024590164</v>
      </c>
    </row>
    <row r="39">
      <c r="A39" s="28" t="s">
        <v>131</v>
      </c>
      <c r="B39" s="35">
        <v>17.0</v>
      </c>
      <c r="C39" s="43">
        <v>15956.0</v>
      </c>
      <c r="D39" s="40">
        <f t="shared" si="1"/>
        <v>15.956</v>
      </c>
      <c r="E39" s="40">
        <f t="shared" si="2"/>
        <v>1.065429932</v>
      </c>
    </row>
    <row r="40">
      <c r="A40" s="28" t="s">
        <v>134</v>
      </c>
      <c r="B40" s="35">
        <v>17.0</v>
      </c>
      <c r="C40" s="38">
        <v>11297.0</v>
      </c>
      <c r="D40" s="40">
        <f t="shared" si="1"/>
        <v>11.297</v>
      </c>
      <c r="E40" s="40">
        <f t="shared" si="2"/>
        <v>1.50482429</v>
      </c>
    </row>
    <row r="41">
      <c r="A41" s="28" t="s">
        <v>137</v>
      </c>
      <c r="B41" s="35">
        <v>12.0</v>
      </c>
      <c r="C41" s="43">
        <v>14781.0</v>
      </c>
      <c r="D41" s="40">
        <f t="shared" si="1"/>
        <v>14.781</v>
      </c>
      <c r="E41" s="40">
        <f t="shared" si="2"/>
        <v>0.8118530546</v>
      </c>
    </row>
    <row r="42">
      <c r="A42" s="28" t="s">
        <v>141</v>
      </c>
      <c r="B42" s="35">
        <v>9.0</v>
      </c>
      <c r="C42" s="38">
        <v>8059.0</v>
      </c>
      <c r="D42" s="40">
        <f t="shared" si="1"/>
        <v>8.059</v>
      </c>
      <c r="E42" s="40">
        <f t="shared" si="2"/>
        <v>1.116763866</v>
      </c>
    </row>
    <row r="43">
      <c r="A43" s="28" t="s">
        <v>144</v>
      </c>
      <c r="B43" s="35">
        <v>34.0</v>
      </c>
      <c r="C43" s="43">
        <v>16473.0</v>
      </c>
      <c r="D43" s="40">
        <f t="shared" si="1"/>
        <v>16.473</v>
      </c>
      <c r="E43" s="40">
        <f t="shared" si="2"/>
        <v>2.063983488</v>
      </c>
    </row>
    <row r="44">
      <c r="A44" s="28" t="s">
        <v>148</v>
      </c>
      <c r="B44" s="35">
        <v>10.0</v>
      </c>
      <c r="C44" s="38">
        <v>9534.0</v>
      </c>
      <c r="D44" s="40">
        <f t="shared" si="1"/>
        <v>9.534</v>
      </c>
      <c r="E44" s="40">
        <f t="shared" si="2"/>
        <v>1.048877701</v>
      </c>
    </row>
    <row r="45">
      <c r="A45" s="28" t="s">
        <v>151</v>
      </c>
      <c r="B45" s="35">
        <v>63.0</v>
      </c>
      <c r="C45" s="43">
        <v>43686.0</v>
      </c>
      <c r="D45" s="40">
        <f t="shared" si="1"/>
        <v>43.686</v>
      </c>
      <c r="E45" s="40">
        <f t="shared" si="2"/>
        <v>1.4421096</v>
      </c>
    </row>
    <row r="46">
      <c r="A46" s="28" t="s">
        <v>153</v>
      </c>
      <c r="B46" s="35">
        <v>32.0</v>
      </c>
      <c r="C46" s="38">
        <v>25569.0</v>
      </c>
      <c r="D46" s="40">
        <f t="shared" si="1"/>
        <v>25.569</v>
      </c>
      <c r="E46" s="40">
        <f t="shared" si="2"/>
        <v>1.251515507</v>
      </c>
    </row>
    <row r="47">
      <c r="A47" s="28" t="s">
        <v>157</v>
      </c>
      <c r="B47" s="35">
        <v>8.0</v>
      </c>
      <c r="C47" s="43">
        <v>6409.0</v>
      </c>
      <c r="D47" s="40">
        <f t="shared" si="1"/>
        <v>6.409</v>
      </c>
      <c r="E47" s="40">
        <f t="shared" si="2"/>
        <v>1.248244656</v>
      </c>
    </row>
    <row r="48">
      <c r="A48" s="28" t="s">
        <v>161</v>
      </c>
      <c r="B48" s="35">
        <v>139.0</v>
      </c>
      <c r="C48" s="38">
        <v>204081.0</v>
      </c>
      <c r="D48" s="40">
        <f t="shared" si="1"/>
        <v>204.081</v>
      </c>
      <c r="E48" s="40">
        <f t="shared" si="2"/>
        <v>0.6811021114</v>
      </c>
    </row>
    <row r="49">
      <c r="A49" s="28" t="s">
        <v>164</v>
      </c>
      <c r="B49" s="35">
        <v>12.0</v>
      </c>
      <c r="C49" s="43">
        <v>12609.0</v>
      </c>
      <c r="D49" s="40">
        <f t="shared" si="1"/>
        <v>12.609</v>
      </c>
      <c r="E49" s="40">
        <f t="shared" si="2"/>
        <v>0.9517011658</v>
      </c>
    </row>
    <row r="50">
      <c r="A50" s="28" t="s">
        <v>168</v>
      </c>
      <c r="B50" s="35">
        <v>8.0</v>
      </c>
      <c r="C50" s="38">
        <v>2811.0</v>
      </c>
      <c r="D50" s="40">
        <f t="shared" si="1"/>
        <v>2.811</v>
      </c>
      <c r="E50" s="40">
        <f t="shared" si="2"/>
        <v>2.845962291</v>
      </c>
    </row>
    <row r="51">
      <c r="A51" s="28" t="s">
        <v>171</v>
      </c>
      <c r="B51" s="35">
        <v>8.0</v>
      </c>
      <c r="C51" s="43">
        <v>7355.0</v>
      </c>
      <c r="D51" s="40">
        <f t="shared" si="1"/>
        <v>7.355</v>
      </c>
      <c r="E51" s="40">
        <f t="shared" si="2"/>
        <v>1.087695445</v>
      </c>
    </row>
    <row r="52">
      <c r="A52" s="28" t="s">
        <v>175</v>
      </c>
      <c r="B52" s="35">
        <v>6.0</v>
      </c>
      <c r="C52" s="38">
        <v>5759.0</v>
      </c>
      <c r="D52" s="40">
        <f t="shared" si="1"/>
        <v>5.759</v>
      </c>
      <c r="E52" s="40">
        <f t="shared" si="2"/>
        <v>1.041847543</v>
      </c>
    </row>
    <row r="53">
      <c r="A53" s="28" t="s">
        <v>179</v>
      </c>
      <c r="B53" s="35">
        <v>19.0</v>
      </c>
      <c r="C53" s="43">
        <v>8021.0</v>
      </c>
      <c r="D53" s="40">
        <f t="shared" si="1"/>
        <v>8.021</v>
      </c>
      <c r="E53" s="40">
        <f t="shared" si="2"/>
        <v>2.368781947</v>
      </c>
    </row>
    <row r="54">
      <c r="A54" s="28" t="s">
        <v>182</v>
      </c>
      <c r="B54" s="35">
        <v>17.0</v>
      </c>
      <c r="C54" s="38">
        <v>29238.0</v>
      </c>
      <c r="D54" s="40">
        <f t="shared" si="1"/>
        <v>29.238</v>
      </c>
      <c r="E54" s="40">
        <f t="shared" si="2"/>
        <v>0.5814351187</v>
      </c>
    </row>
    <row r="55">
      <c r="A55" s="28" t="s">
        <v>184</v>
      </c>
      <c r="B55" s="35">
        <v>28.0</v>
      </c>
      <c r="C55" s="43">
        <v>22217.0</v>
      </c>
      <c r="D55" s="40">
        <f t="shared" si="1"/>
        <v>22.217</v>
      </c>
      <c r="E55" s="40">
        <f t="shared" si="2"/>
        <v>1.26029617</v>
      </c>
    </row>
    <row r="56">
      <c r="A56" s="28" t="s">
        <v>186</v>
      </c>
      <c r="B56" s="35">
        <v>23.0</v>
      </c>
      <c r="C56" s="38">
        <v>27348.0</v>
      </c>
      <c r="D56" s="40">
        <f t="shared" si="1"/>
        <v>27.348</v>
      </c>
      <c r="E56" s="40">
        <f t="shared" si="2"/>
        <v>0.8410121398</v>
      </c>
    </row>
    <row r="57">
      <c r="A57" s="28" t="s">
        <v>187</v>
      </c>
      <c r="B57" s="35">
        <v>66.0</v>
      </c>
      <c r="C57" s="43">
        <v>27213.0</v>
      </c>
      <c r="D57" s="40">
        <f t="shared" si="1"/>
        <v>27.213</v>
      </c>
      <c r="E57" s="40">
        <f t="shared" si="2"/>
        <v>2.425311432</v>
      </c>
    </row>
    <row r="58">
      <c r="A58" s="28" t="s">
        <v>188</v>
      </c>
      <c r="B58" s="35">
        <v>21.0</v>
      </c>
      <c r="C58" s="38">
        <v>18541.0</v>
      </c>
      <c r="D58" s="40">
        <f t="shared" si="1"/>
        <v>18.541</v>
      </c>
      <c r="E58" s="40">
        <f t="shared" si="2"/>
        <v>1.132624993</v>
      </c>
    </row>
    <row r="59">
      <c r="A59" s="28" t="s">
        <v>190</v>
      </c>
      <c r="B59" s="35">
        <v>11.0</v>
      </c>
      <c r="C59" s="43">
        <v>8853.0</v>
      </c>
      <c r="D59" s="40">
        <f t="shared" si="1"/>
        <v>8.853</v>
      </c>
      <c r="E59" s="40">
        <f t="shared" si="2"/>
        <v>1.242516661</v>
      </c>
    </row>
    <row r="60">
      <c r="A60" s="28" t="s">
        <v>191</v>
      </c>
      <c r="B60" s="35">
        <v>26.0</v>
      </c>
      <c r="C60" s="38">
        <v>17365.0</v>
      </c>
      <c r="D60" s="40">
        <f t="shared" si="1"/>
        <v>17.365</v>
      </c>
      <c r="E60" s="40">
        <f t="shared" si="2"/>
        <v>1.497264613</v>
      </c>
    </row>
    <row r="61">
      <c r="A61" s="28" t="s">
        <v>193</v>
      </c>
      <c r="B61" s="35">
        <v>15.0</v>
      </c>
      <c r="C61" s="43">
        <v>9507.0</v>
      </c>
      <c r="D61" s="40">
        <f t="shared" si="1"/>
        <v>9.507</v>
      </c>
      <c r="E61" s="40">
        <f t="shared" si="2"/>
        <v>1.57778479</v>
      </c>
    </row>
    <row r="62">
      <c r="A62" s="28" t="s">
        <v>194</v>
      </c>
      <c r="B62" s="35">
        <v>30.0</v>
      </c>
      <c r="C62" s="38">
        <v>20825.0</v>
      </c>
      <c r="D62" s="40">
        <f t="shared" si="1"/>
        <v>20.825</v>
      </c>
      <c r="E62" s="40">
        <f t="shared" si="2"/>
        <v>1.44057623</v>
      </c>
    </row>
    <row r="63">
      <c r="A63" s="28" t="s">
        <v>196</v>
      </c>
      <c r="B63" s="35">
        <v>14.0</v>
      </c>
      <c r="C63" s="43">
        <v>14003.0</v>
      </c>
      <c r="D63" s="40">
        <f t="shared" si="1"/>
        <v>14.003</v>
      </c>
      <c r="E63" s="40">
        <f t="shared" si="2"/>
        <v>0.9997857602</v>
      </c>
    </row>
    <row r="64">
      <c r="A64" s="28" t="s">
        <v>198</v>
      </c>
      <c r="B64" s="35">
        <v>8.0</v>
      </c>
      <c r="C64" s="38">
        <v>4049.0</v>
      </c>
      <c r="D64" s="40">
        <f t="shared" si="1"/>
        <v>4.049</v>
      </c>
      <c r="E64" s="40">
        <f t="shared" si="2"/>
        <v>1.975796493</v>
      </c>
    </row>
    <row r="65">
      <c r="A65" s="28" t="s">
        <v>199</v>
      </c>
      <c r="B65" s="35">
        <v>6.0</v>
      </c>
      <c r="C65" s="43">
        <v>7549.0</v>
      </c>
      <c r="D65" s="40">
        <f t="shared" si="1"/>
        <v>7.549</v>
      </c>
      <c r="E65" s="40">
        <f t="shared" si="2"/>
        <v>0.7948072592</v>
      </c>
    </row>
    <row r="66">
      <c r="A66" s="28" t="s">
        <v>201</v>
      </c>
      <c r="B66" s="35">
        <v>8.0</v>
      </c>
      <c r="C66" s="38">
        <v>11289.0</v>
      </c>
      <c r="D66" s="40">
        <f t="shared" si="1"/>
        <v>11.289</v>
      </c>
      <c r="E66" s="40">
        <f t="shared" si="2"/>
        <v>0.7086544424</v>
      </c>
    </row>
    <row r="67">
      <c r="A67" s="28" t="s">
        <v>204</v>
      </c>
      <c r="B67" s="35">
        <v>60.0</v>
      </c>
      <c r="C67" s="43">
        <v>101213.0</v>
      </c>
      <c r="D67" s="40">
        <f t="shared" si="1"/>
        <v>101.213</v>
      </c>
      <c r="E67" s="40">
        <f t="shared" si="2"/>
        <v>0.5928092241</v>
      </c>
    </row>
    <row r="68">
      <c r="A68" s="28" t="s">
        <v>215</v>
      </c>
      <c r="B68" s="35">
        <v>15.0</v>
      </c>
      <c r="C68" s="38">
        <v>10559.0</v>
      </c>
      <c r="D68" s="40">
        <f t="shared" si="1"/>
        <v>10.559</v>
      </c>
      <c r="E68" s="40">
        <f t="shared" si="2"/>
        <v>1.420589071</v>
      </c>
    </row>
    <row r="69">
      <c r="A69" s="28" t="s">
        <v>221</v>
      </c>
      <c r="B69" s="35">
        <v>6.0</v>
      </c>
      <c r="C69" s="43">
        <v>3246.0</v>
      </c>
      <c r="D69" s="40">
        <f t="shared" si="1"/>
        <v>3.246</v>
      </c>
      <c r="E69" s="40">
        <f t="shared" si="2"/>
        <v>1.848428835</v>
      </c>
    </row>
    <row r="70">
      <c r="A70" s="28" t="s">
        <v>228</v>
      </c>
      <c r="B70" s="35">
        <v>9.0</v>
      </c>
      <c r="C70" s="38">
        <v>3471.0</v>
      </c>
      <c r="D70" s="40">
        <f t="shared" si="1"/>
        <v>3.471</v>
      </c>
      <c r="E70" s="40">
        <f t="shared" si="2"/>
        <v>2.592912705</v>
      </c>
    </row>
    <row r="71">
      <c r="A71" s="28" t="s">
        <v>235</v>
      </c>
      <c r="B71" s="35">
        <v>62.0</v>
      </c>
      <c r="C71" s="43">
        <v>44503.0</v>
      </c>
      <c r="D71" s="40">
        <f t="shared" si="1"/>
        <v>44.503</v>
      </c>
      <c r="E71" s="40">
        <f t="shared" si="2"/>
        <v>1.393164506</v>
      </c>
    </row>
    <row r="72">
      <c r="A72" s="28" t="s">
        <v>239</v>
      </c>
      <c r="B72" s="35">
        <v>12.0</v>
      </c>
      <c r="C72" s="38">
        <v>7981.0</v>
      </c>
      <c r="D72" s="40">
        <f t="shared" si="1"/>
        <v>7.981</v>
      </c>
      <c r="E72" s="40">
        <f t="shared" si="2"/>
        <v>1.503570981</v>
      </c>
    </row>
    <row r="73">
      <c r="A73" s="28" t="s">
        <v>241</v>
      </c>
      <c r="B73" s="35">
        <v>8.0</v>
      </c>
      <c r="C73" s="43">
        <v>3389.0</v>
      </c>
      <c r="D73" s="40">
        <f t="shared" si="1"/>
        <v>3.389</v>
      </c>
      <c r="E73" s="40">
        <f t="shared" si="2"/>
        <v>2.360578342</v>
      </c>
    </row>
    <row r="74">
      <c r="A74" s="28" t="s">
        <v>246</v>
      </c>
      <c r="B74" s="35">
        <v>62.0</v>
      </c>
      <c r="C74" s="38">
        <v>52783.0</v>
      </c>
      <c r="D74" s="40">
        <f t="shared" si="1"/>
        <v>52.783</v>
      </c>
      <c r="E74" s="40">
        <f t="shared" si="2"/>
        <v>1.174620616</v>
      </c>
    </row>
    <row r="75">
      <c r="A75" s="28" t="s">
        <v>249</v>
      </c>
      <c r="B75" s="35">
        <v>14.0</v>
      </c>
      <c r="C75" s="43">
        <v>12094.0</v>
      </c>
      <c r="D75" s="40">
        <f t="shared" si="1"/>
        <v>12.094</v>
      </c>
      <c r="E75" s="40">
        <f t="shared" si="2"/>
        <v>1.157598809</v>
      </c>
    </row>
    <row r="76">
      <c r="A76" s="28" t="s">
        <v>251</v>
      </c>
      <c r="B76" s="35">
        <v>21.0</v>
      </c>
      <c r="C76" s="49">
        <v>24618.0</v>
      </c>
      <c r="D76" s="40">
        <f t="shared" si="1"/>
        <v>24.618</v>
      </c>
      <c r="E76" s="40">
        <f t="shared" si="2"/>
        <v>0.8530343651</v>
      </c>
    </row>
  </sheetData>
  <hyperlinks>
    <hyperlink r:id="rId1" ref="G5"/>
  </hyperlinks>
  <drawing r:id="rId2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31" t="s">
        <v>10</v>
      </c>
      <c r="B1" s="33">
        <v>100.0</v>
      </c>
      <c r="E1" s="41" t="s">
        <v>209</v>
      </c>
    </row>
    <row r="2">
      <c r="A2" s="31" t="s">
        <v>223</v>
      </c>
      <c r="B2" s="33">
        <v>83.0</v>
      </c>
      <c r="E2" s="23" t="s">
        <v>230</v>
      </c>
    </row>
    <row r="3">
      <c r="A3" s="31" t="s">
        <v>18</v>
      </c>
      <c r="B3" s="33">
        <v>100.0</v>
      </c>
      <c r="E3" s="23" t="s">
        <v>236</v>
      </c>
    </row>
    <row r="4">
      <c r="A4" s="31" t="s">
        <v>20</v>
      </c>
      <c r="B4" s="33" t="s">
        <v>23</v>
      </c>
    </row>
    <row r="5">
      <c r="A5" s="31" t="s">
        <v>22</v>
      </c>
      <c r="B5" s="33" t="s">
        <v>26</v>
      </c>
    </row>
    <row r="6">
      <c r="A6" s="31" t="s">
        <v>25</v>
      </c>
      <c r="B6" s="33" t="s">
        <v>30</v>
      </c>
    </row>
    <row r="7">
      <c r="A7" s="31" t="s">
        <v>27</v>
      </c>
      <c r="B7" s="33" t="s">
        <v>33</v>
      </c>
    </row>
    <row r="8">
      <c r="A8" s="31" t="s">
        <v>29</v>
      </c>
      <c r="B8" s="33" t="s">
        <v>37</v>
      </c>
    </row>
    <row r="9">
      <c r="A9" s="31" t="s">
        <v>32</v>
      </c>
      <c r="B9" s="33" t="s">
        <v>40</v>
      </c>
    </row>
    <row r="10">
      <c r="A10" s="45" t="s">
        <v>34</v>
      </c>
      <c r="B10" s="46">
        <v>94.96</v>
      </c>
      <c r="C10" s="17" t="s">
        <v>240</v>
      </c>
    </row>
    <row r="11">
      <c r="A11" s="31" t="s">
        <v>36</v>
      </c>
      <c r="B11" s="33">
        <v>100.0</v>
      </c>
    </row>
    <row r="12">
      <c r="A12" s="31" t="s">
        <v>39</v>
      </c>
      <c r="B12" s="33" t="s">
        <v>49</v>
      </c>
    </row>
    <row r="13">
      <c r="A13" s="31" t="s">
        <v>41</v>
      </c>
      <c r="B13" s="33" t="s">
        <v>53</v>
      </c>
    </row>
    <row r="14">
      <c r="A14" s="31" t="s">
        <v>43</v>
      </c>
      <c r="B14" s="33">
        <v>100.0</v>
      </c>
    </row>
    <row r="15">
      <c r="A15" s="31" t="s">
        <v>45</v>
      </c>
      <c r="B15" s="33" t="s">
        <v>60</v>
      </c>
    </row>
    <row r="16">
      <c r="A16" s="31" t="s">
        <v>46</v>
      </c>
      <c r="B16" s="33">
        <v>100.0</v>
      </c>
    </row>
    <row r="17">
      <c r="A17" s="31" t="s">
        <v>48</v>
      </c>
      <c r="B17" s="33" t="s">
        <v>68</v>
      </c>
    </row>
    <row r="18">
      <c r="A18" s="31" t="s">
        <v>52</v>
      </c>
      <c r="B18" s="33">
        <v>100.0</v>
      </c>
    </row>
    <row r="19">
      <c r="A19" s="31" t="s">
        <v>57</v>
      </c>
      <c r="B19" s="33">
        <v>100.0</v>
      </c>
    </row>
    <row r="20">
      <c r="A20" s="31" t="s">
        <v>61</v>
      </c>
      <c r="B20" s="33" t="s">
        <v>76</v>
      </c>
    </row>
    <row r="21">
      <c r="A21" s="45" t="s">
        <v>64</v>
      </c>
      <c r="B21" s="46">
        <v>68.82</v>
      </c>
      <c r="C21" s="17" t="s">
        <v>247</v>
      </c>
    </row>
    <row r="22">
      <c r="A22" s="31" t="s">
        <v>67</v>
      </c>
      <c r="B22" s="33" t="s">
        <v>82</v>
      </c>
    </row>
    <row r="23">
      <c r="A23" s="45" t="s">
        <v>70</v>
      </c>
      <c r="B23" s="46">
        <v>98.78</v>
      </c>
      <c r="C23" s="17" t="s">
        <v>247</v>
      </c>
    </row>
    <row r="24">
      <c r="A24" s="31" t="s">
        <v>71</v>
      </c>
      <c r="B24" s="33" t="s">
        <v>87</v>
      </c>
    </row>
    <row r="25">
      <c r="A25" s="31" t="s">
        <v>73</v>
      </c>
      <c r="B25" s="33" t="s">
        <v>91</v>
      </c>
    </row>
    <row r="26">
      <c r="A26" s="31" t="s">
        <v>75</v>
      </c>
      <c r="B26" s="33" t="s">
        <v>94</v>
      </c>
    </row>
    <row r="27">
      <c r="A27" s="31" t="s">
        <v>77</v>
      </c>
      <c r="B27" s="33" t="s">
        <v>98</v>
      </c>
    </row>
    <row r="28">
      <c r="A28" s="31" t="s">
        <v>79</v>
      </c>
      <c r="B28" s="33" t="s">
        <v>101</v>
      </c>
    </row>
    <row r="29">
      <c r="A29" s="45" t="s">
        <v>81</v>
      </c>
      <c r="B29" s="46">
        <v>77.98</v>
      </c>
      <c r="C29" s="17" t="s">
        <v>247</v>
      </c>
    </row>
    <row r="30">
      <c r="A30" s="31" t="s">
        <v>250</v>
      </c>
      <c r="B30" s="33" t="s">
        <v>107</v>
      </c>
    </row>
    <row r="31">
      <c r="A31" s="31" t="s">
        <v>85</v>
      </c>
      <c r="B31" s="33" t="s">
        <v>111</v>
      </c>
    </row>
    <row r="32">
      <c r="A32" s="45" t="s">
        <v>88</v>
      </c>
      <c r="B32" s="46">
        <v>74.59</v>
      </c>
      <c r="C32" s="17" t="s">
        <v>247</v>
      </c>
    </row>
    <row r="33">
      <c r="A33" s="31" t="s">
        <v>90</v>
      </c>
      <c r="B33" s="33" t="s">
        <v>116</v>
      </c>
    </row>
    <row r="34">
      <c r="A34" s="31" t="s">
        <v>93</v>
      </c>
      <c r="B34" s="33" t="s">
        <v>120</v>
      </c>
    </row>
    <row r="35">
      <c r="A35" s="31" t="s">
        <v>95</v>
      </c>
      <c r="B35" s="33" t="s">
        <v>123</v>
      </c>
    </row>
    <row r="36">
      <c r="A36" s="31" t="s">
        <v>97</v>
      </c>
      <c r="B36" s="33" t="s">
        <v>127</v>
      </c>
    </row>
    <row r="37">
      <c r="A37" s="31" t="s">
        <v>100</v>
      </c>
      <c r="B37" s="33">
        <v>100.0</v>
      </c>
    </row>
    <row r="38">
      <c r="A38" s="45" t="s">
        <v>102</v>
      </c>
      <c r="B38" s="46">
        <v>99.13</v>
      </c>
      <c r="C38" s="17" t="s">
        <v>247</v>
      </c>
    </row>
    <row r="39">
      <c r="A39" s="31" t="s">
        <v>104</v>
      </c>
      <c r="B39" s="33" t="s">
        <v>136</v>
      </c>
    </row>
    <row r="40">
      <c r="A40" s="31" t="s">
        <v>106</v>
      </c>
      <c r="B40" s="33" t="s">
        <v>139</v>
      </c>
    </row>
    <row r="41">
      <c r="A41" s="31" t="s">
        <v>108</v>
      </c>
      <c r="B41" s="33" t="s">
        <v>143</v>
      </c>
    </row>
    <row r="42">
      <c r="A42" s="31" t="s">
        <v>110</v>
      </c>
      <c r="B42" s="33" t="s">
        <v>147</v>
      </c>
    </row>
    <row r="43">
      <c r="A43" s="45" t="s">
        <v>113</v>
      </c>
      <c r="B43" s="46">
        <v>68.08</v>
      </c>
      <c r="C43" s="17" t="s">
        <v>247</v>
      </c>
    </row>
    <row r="44">
      <c r="A44" s="31" t="s">
        <v>115</v>
      </c>
      <c r="B44" s="33">
        <v>100.0</v>
      </c>
    </row>
    <row r="45">
      <c r="A45" s="31" t="s">
        <v>117</v>
      </c>
      <c r="B45" s="33" t="s">
        <v>156</v>
      </c>
    </row>
    <row r="46">
      <c r="A46" s="31" t="s">
        <v>119</v>
      </c>
      <c r="B46" s="33" t="s">
        <v>159</v>
      </c>
    </row>
    <row r="47">
      <c r="A47" s="31" t="s">
        <v>122</v>
      </c>
      <c r="B47" s="33" t="s">
        <v>163</v>
      </c>
    </row>
    <row r="48">
      <c r="A48" s="31" t="s">
        <v>124</v>
      </c>
      <c r="B48" s="33" t="s">
        <v>166</v>
      </c>
    </row>
    <row r="49">
      <c r="A49" s="31" t="s">
        <v>126</v>
      </c>
      <c r="B49" s="33" t="s">
        <v>170</v>
      </c>
    </row>
    <row r="50">
      <c r="A50" s="31" t="s">
        <v>129</v>
      </c>
      <c r="B50" s="33" t="s">
        <v>174</v>
      </c>
    </row>
    <row r="51">
      <c r="A51" s="31" t="s">
        <v>130</v>
      </c>
      <c r="B51" s="33" t="s">
        <v>177</v>
      </c>
    </row>
    <row r="52">
      <c r="A52" s="31" t="s">
        <v>132</v>
      </c>
      <c r="B52" s="33" t="s">
        <v>180</v>
      </c>
    </row>
    <row r="53">
      <c r="A53" s="31" t="s">
        <v>133</v>
      </c>
      <c r="B53" s="33" t="s">
        <v>183</v>
      </c>
    </row>
    <row r="54">
      <c r="A54" s="31" t="s">
        <v>135</v>
      </c>
      <c r="B54" s="33" t="s">
        <v>185</v>
      </c>
    </row>
    <row r="55">
      <c r="A55" s="45" t="s">
        <v>138</v>
      </c>
      <c r="B55" s="46">
        <v>80.0</v>
      </c>
      <c r="C55" s="17" t="s">
        <v>247</v>
      </c>
    </row>
    <row r="56">
      <c r="A56" s="31" t="s">
        <v>140</v>
      </c>
      <c r="B56" s="33">
        <v>100.0</v>
      </c>
    </row>
    <row r="57">
      <c r="A57" s="31" t="s">
        <v>142</v>
      </c>
      <c r="B57" s="33" t="s">
        <v>189</v>
      </c>
    </row>
    <row r="58">
      <c r="A58" s="31" t="s">
        <v>145</v>
      </c>
      <c r="B58" s="33">
        <v>100.0</v>
      </c>
    </row>
    <row r="59">
      <c r="A59" s="31" t="s">
        <v>146</v>
      </c>
      <c r="B59" s="33" t="s">
        <v>192</v>
      </c>
    </row>
    <row r="60">
      <c r="A60" s="31" t="s">
        <v>149</v>
      </c>
      <c r="B60" s="33">
        <v>100.0</v>
      </c>
    </row>
    <row r="61">
      <c r="A61" s="31" t="s">
        <v>150</v>
      </c>
      <c r="B61" s="33" t="s">
        <v>195</v>
      </c>
    </row>
    <row r="62">
      <c r="A62" s="31" t="s">
        <v>152</v>
      </c>
      <c r="B62" s="33" t="s">
        <v>197</v>
      </c>
    </row>
    <row r="63">
      <c r="A63" s="45" t="s">
        <v>154</v>
      </c>
      <c r="B63" s="46">
        <v>93.42</v>
      </c>
      <c r="C63" s="17" t="s">
        <v>247</v>
      </c>
    </row>
    <row r="64">
      <c r="A64" s="31" t="s">
        <v>155</v>
      </c>
      <c r="B64" s="33">
        <v>100.0</v>
      </c>
    </row>
    <row r="65">
      <c r="A65" s="31" t="s">
        <v>158</v>
      </c>
      <c r="B65" s="33" t="s">
        <v>203</v>
      </c>
    </row>
    <row r="66">
      <c r="A66" s="31" t="s">
        <v>160</v>
      </c>
      <c r="B66" s="33" t="s">
        <v>211</v>
      </c>
    </row>
    <row r="67">
      <c r="A67" s="31" t="s">
        <v>162</v>
      </c>
      <c r="B67" s="33" t="s">
        <v>220</v>
      </c>
    </row>
    <row r="68">
      <c r="A68" s="31" t="s">
        <v>165</v>
      </c>
      <c r="B68" s="33" t="s">
        <v>226</v>
      </c>
    </row>
    <row r="69">
      <c r="A69" s="31" t="s">
        <v>167</v>
      </c>
      <c r="B69" s="33" t="s">
        <v>232</v>
      </c>
    </row>
    <row r="70">
      <c r="A70" s="31" t="s">
        <v>169</v>
      </c>
      <c r="B70" s="33" t="s">
        <v>237</v>
      </c>
    </row>
    <row r="71">
      <c r="A71" s="31" t="s">
        <v>172</v>
      </c>
      <c r="B71" s="33">
        <v>100.0</v>
      </c>
    </row>
    <row r="72">
      <c r="A72" s="31" t="s">
        <v>173</v>
      </c>
      <c r="B72" s="33" t="s">
        <v>245</v>
      </c>
    </row>
    <row r="73">
      <c r="A73" s="31" t="s">
        <v>176</v>
      </c>
      <c r="B73" s="33" t="s">
        <v>248</v>
      </c>
    </row>
    <row r="74">
      <c r="A74" s="31" t="s">
        <v>178</v>
      </c>
      <c r="B74" s="33">
        <v>100.0</v>
      </c>
    </row>
    <row r="75">
      <c r="A75" s="31" t="s">
        <v>181</v>
      </c>
      <c r="B75" s="33">
        <v>100.0</v>
      </c>
    </row>
  </sheetData>
  <hyperlinks>
    <hyperlink r:id="rId1" location=":~:text=O%20munic%C3%ADpio%20ARACAJU%20gera%2030.600,esgotos%20na%20natureza%20sem%20tratamento." ref="E1"/>
    <hyperlink r:id="rId2" ref="E2"/>
    <hyperlink r:id="rId3" ref="E3"/>
  </hyperlinks>
  <drawing r:id="rId4"/>
</worksheet>
</file>